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 Id="rId5" Type="http://schemas.microsoft.com/office/2020/02/relationships/classificationlabels" Target="docMetadata/LabelInfo.xml"/></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38640" windowHeight="21120" tabRatio="886" firstSheet="0" activeTab="1" autoFilterDateGrouping="1"/>
  </bookViews>
  <sheets>
    <sheet xmlns:r="http://schemas.openxmlformats.org/officeDocument/2006/relationships" name="01_Key Requirements &amp; Use Cases" sheetId="1" state="visible" r:id="rId1"/>
    <sheet xmlns:r="http://schemas.openxmlformats.org/officeDocument/2006/relationships" name="02_M365 Backup Assessment" sheetId="2" state="visible" r:id="rId2"/>
    <sheet xmlns:r="http://schemas.openxmlformats.org/officeDocument/2006/relationships" name="03_Product(s) Evaluation" sheetId="3" state="hidden" r:id="rId3"/>
    <sheet xmlns:r="http://schemas.openxmlformats.org/officeDocument/2006/relationships" name="05_PoC Scoring" sheetId="4" state="hidden" r:id="rId4"/>
    <sheet xmlns:r="http://schemas.openxmlformats.org/officeDocument/2006/relationships" name="Inputs" sheetId="5" state="hidden" r:id="rId5"/>
  </sheets>
  <definedNames>
    <definedName name="POC_Criteria">#REF!</definedName>
    <definedName name="_xlnm._FilterDatabase" localSheetId="3" hidden="1">'05_PoC Scoring'!$B$3:$AJ$231</definedName>
  </definedNames>
  <calcPr calcId="191029" fullCalcOnLoad="1"/>
</workbook>
</file>

<file path=xl/styles.xml><?xml version="1.0" encoding="utf-8"?>
<styleSheet xmlns="http://schemas.openxmlformats.org/spreadsheetml/2006/main">
  <numFmts count="2">
    <numFmt numFmtId="164" formatCode="0;\-0;;@"/>
    <numFmt numFmtId="165" formatCode="_-* #,##0.00_-;\-* #,##0.00_-;_-* &quot;-&quot;??_-;_-@_-"/>
  </numFmts>
  <fonts count="21">
    <font>
      <name val="Calibri"/>
      <family val="2"/>
      <color theme="1"/>
      <sz val="11"/>
      <scheme val="minor"/>
    </font>
    <font>
      <name val="Arial"/>
      <family val="2"/>
      <color theme="1"/>
      <sz val="10"/>
    </font>
    <font>
      <name val="Arial"/>
      <family val="2"/>
      <color rgb="FF000000"/>
      <sz val="10"/>
    </font>
    <font>
      <name val="Arial"/>
      <family val="2"/>
      <b val="1"/>
      <color theme="0"/>
      <sz val="12"/>
    </font>
    <font>
      <name val="Arial"/>
      <family val="2"/>
      <b val="1"/>
      <color theme="1"/>
      <sz val="11"/>
    </font>
    <font>
      <name val="Calibri"/>
      <family val="2"/>
      <b val="1"/>
      <color theme="1"/>
      <sz val="11"/>
      <scheme val="minor"/>
    </font>
    <font>
      <name val="Arial"/>
      <family val="2"/>
      <b val="1"/>
      <color theme="0"/>
      <sz val="11"/>
    </font>
    <font>
      <name val="Arial"/>
      <family val="2"/>
      <b val="1"/>
      <color theme="1"/>
      <sz val="12"/>
    </font>
    <font>
      <name val="Calibri"/>
      <family val="2"/>
      <color theme="1"/>
      <sz val="11"/>
      <scheme val="minor"/>
    </font>
    <font>
      <name val="Arial"/>
      <family val="2"/>
      <sz val="10"/>
    </font>
    <font>
      <name val="Arial"/>
      <family val="2"/>
      <color rgb="FFFF0000"/>
      <sz val="10"/>
    </font>
    <font>
      <name val="Arial"/>
      <family val="2"/>
      <strike val="1"/>
      <color theme="1"/>
      <sz val="10"/>
    </font>
    <font>
      <name val="Arial"/>
      <family val="2"/>
      <strike val="1"/>
      <color rgb="FF000000"/>
      <sz val="10"/>
    </font>
    <font>
      <name val="Arial"/>
      <family val="2"/>
      <color rgb="FF00B0F0"/>
      <sz val="10"/>
    </font>
    <font>
      <name val="Arial"/>
      <family val="2"/>
      <color theme="5"/>
      <sz val="10"/>
    </font>
    <font>
      <name val="Calibri"/>
      <family val="2"/>
      <color rgb="FFFF0000"/>
      <sz val="11"/>
      <scheme val="minor"/>
    </font>
    <font>
      <name val="Calibri"/>
      <b val="1"/>
      <sz val="14"/>
    </font>
    <font>
      <name val="Calibri"/>
      <b val="1"/>
      <color rgb="FFFFFFFF"/>
      <sz val="11"/>
    </font>
    <font>
      <b val="1"/>
      <sz val="12"/>
    </font>
    <font>
      <b val="1"/>
      <color rgb="00FFFFFF"/>
    </font>
    <font>
      <i val="1"/>
    </font>
  </fonts>
  <fills count="26">
    <fill>
      <patternFill/>
    </fill>
    <fill>
      <patternFill patternType="gray125"/>
    </fill>
    <fill>
      <patternFill patternType="solid">
        <fgColor theme="3" tint="-0.499984740745262"/>
        <bgColor indexed="64"/>
      </patternFill>
    </fill>
    <fill>
      <patternFill patternType="solid">
        <fgColor rgb="FF92D050"/>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rgb="FF7030A0"/>
        <bgColor indexed="64"/>
      </patternFill>
    </fill>
    <fill>
      <patternFill patternType="solid">
        <fgColor rgb="FFC00000"/>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rgb="FF00B050"/>
        <bgColor indexed="64"/>
      </patternFill>
    </fill>
    <fill>
      <patternFill patternType="solid">
        <fgColor rgb="FF0070C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2" tint="-0.09997863704336681"/>
        <bgColor indexed="64"/>
      </patternFill>
    </fill>
    <fill>
      <patternFill patternType="solid">
        <fgColor theme="2" tint="-0.249977111117893"/>
        <bgColor indexed="64"/>
      </patternFill>
    </fill>
    <fill>
      <patternFill patternType="solid">
        <fgColor theme="8" tint="-0.249977111117893"/>
        <bgColor indexed="64"/>
      </patternFill>
    </fill>
    <fill>
      <patternFill patternType="solid">
        <fgColor theme="0" tint="-0.3499862666707358"/>
        <bgColor indexed="64"/>
      </patternFill>
    </fill>
    <fill>
      <patternFill patternType="solid">
        <fgColor rgb="FF2F5496"/>
      </patternFill>
    </fill>
    <fill>
      <patternFill patternType="solid">
        <fgColor rgb="FFC6EFCE"/>
      </patternFill>
    </fill>
    <fill>
      <patternFill patternType="solid">
        <fgColor rgb="FFFFC7CE"/>
      </patternFill>
    </fill>
    <fill>
      <patternFill patternType="solid">
        <fgColor rgb="FFFFEB9C"/>
      </patternFill>
    </fill>
    <fill>
      <patternFill patternType="solid">
        <fgColor rgb="00FFEB9C"/>
      </patternFill>
    </fill>
    <fill>
      <patternFill patternType="solid">
        <fgColor rgb="002F5496"/>
      </patternFill>
    </fill>
  </fills>
  <borders count="47">
    <border>
      <left/>
      <right/>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top style="hair">
        <color indexed="64"/>
      </top>
      <bottom style="hair">
        <color indexed="64"/>
      </bottom>
      <diagonal/>
    </border>
    <border>
      <left/>
      <right/>
      <top style="hair">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right/>
      <top style="medium">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thin">
        <color indexed="64"/>
      </right>
      <top style="thin">
        <color indexed="64"/>
      </top>
      <bottom style="thin">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hair">
        <color indexed="64"/>
      </right>
      <top style="hair">
        <color indexed="64"/>
      </top>
      <bottom style="medium">
        <color indexed="64"/>
      </bottom>
      <diagonal/>
    </border>
    <border>
      <left/>
      <right/>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hair">
        <color indexed="64"/>
      </bottom>
      <diagonal/>
    </border>
    <border>
      <left style="medium">
        <color indexed="64"/>
      </left>
      <right/>
      <top/>
      <bottom style="hair">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medium">
        <color indexed="64"/>
      </left>
      <right style="hair">
        <color indexed="64"/>
      </right>
      <top/>
      <bottom style="hair">
        <color indexed="64"/>
      </bottom>
      <diagonal/>
    </border>
    <border>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hair">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top style="hair">
        <color indexed="64"/>
      </top>
      <bottom/>
      <diagonal/>
    </border>
    <border>
      <left/>
      <right style="medium">
        <color indexed="64"/>
      </right>
      <top style="hair">
        <color indexed="64"/>
      </top>
      <bottom/>
      <diagonal/>
    </border>
  </borders>
  <cellStyleXfs count="4">
    <xf numFmtId="0" fontId="8" fillId="0" borderId="0"/>
    <xf numFmtId="0" fontId="9" fillId="0" borderId="0"/>
    <xf numFmtId="0" fontId="9" fillId="0" borderId="0"/>
    <xf numFmtId="43" fontId="8" fillId="0" borderId="0"/>
  </cellStyleXfs>
  <cellXfs count="123">
    <xf numFmtId="0" fontId="0" fillId="0" borderId="0" pivotButton="0" quotePrefix="0" xfId="0"/>
    <xf numFmtId="0" fontId="0" fillId="0" borderId="0" applyAlignment="1" pivotButton="0" quotePrefix="0" xfId="0">
      <alignment horizontal="center"/>
    </xf>
    <xf numFmtId="0" fontId="2" fillId="16" borderId="2" applyAlignment="1" pivotButton="0" quotePrefix="0" xfId="0">
      <alignment horizontal="center" vertical="center"/>
    </xf>
    <xf numFmtId="0" fontId="2" fillId="15" borderId="2" applyAlignment="1" pivotButton="0" quotePrefix="0" xfId="0">
      <alignment horizontal="center" vertical="center"/>
    </xf>
    <xf numFmtId="0" fontId="2" fillId="15" borderId="21" applyAlignment="1" pivotButton="0" quotePrefix="0" xfId="0">
      <alignment horizontal="center" vertical="center"/>
    </xf>
    <xf numFmtId="0" fontId="2" fillId="16" borderId="21" applyAlignment="1" pivotButton="0" quotePrefix="0" xfId="0">
      <alignment horizontal="center" vertical="center"/>
    </xf>
    <xf numFmtId="0" fontId="0" fillId="0" borderId="0" applyProtection="1" pivotButton="0" quotePrefix="0" xfId="0">
      <protection locked="0" hidden="0"/>
    </xf>
    <xf numFmtId="0" fontId="5" fillId="0" borderId="0" pivotButton="0" quotePrefix="0" xfId="0"/>
    <xf numFmtId="0" fontId="2" fillId="15" borderId="8" applyAlignment="1" applyProtection="1" pivotButton="0" quotePrefix="0" xfId="0">
      <alignment horizontal="center" vertical="center"/>
      <protection locked="1" hidden="1"/>
    </xf>
    <xf numFmtId="0" fontId="3" fillId="2" borderId="10" applyAlignment="1" applyProtection="1" pivotButton="0" quotePrefix="0" xfId="0">
      <alignment vertical="center"/>
      <protection locked="0" hidden="0"/>
    </xf>
    <xf numFmtId="0" fontId="3" fillId="2" borderId="12" applyAlignment="1" applyProtection="1" pivotButton="0" quotePrefix="0" xfId="0">
      <alignment vertical="center"/>
      <protection locked="0" hidden="0"/>
    </xf>
    <xf numFmtId="0" fontId="3" fillId="2" borderId="12" applyAlignment="1" applyProtection="1" pivotButton="0" quotePrefix="0" xfId="0">
      <alignment vertical="center" wrapText="1"/>
      <protection locked="0" hidden="0"/>
    </xf>
    <xf numFmtId="0" fontId="3" fillId="2" borderId="26" applyAlignment="1" applyProtection="1" pivotButton="0" quotePrefix="0" xfId="0">
      <alignment vertical="center" wrapText="1"/>
      <protection locked="0" hidden="0"/>
    </xf>
    <xf numFmtId="0" fontId="6" fillId="6" borderId="23" applyAlignment="1" applyProtection="1" pivotButton="0" quotePrefix="0" xfId="0">
      <alignment horizontal="center" vertical="center" wrapText="1"/>
      <protection locked="0" hidden="0"/>
    </xf>
    <xf numFmtId="0" fontId="7" fillId="3" borderId="17" applyAlignment="1" applyProtection="1" pivotButton="0" quotePrefix="0" xfId="0">
      <alignment horizontal="left" vertical="center" indent="1"/>
      <protection locked="0" hidden="0"/>
    </xf>
    <xf numFmtId="0" fontId="4" fillId="3" borderId="9" applyAlignment="1" applyProtection="1" pivotButton="0" quotePrefix="0" xfId="0">
      <alignment vertical="center"/>
      <protection locked="0" hidden="0"/>
    </xf>
    <xf numFmtId="0" fontId="4" fillId="3" borderId="18" applyAlignment="1" applyProtection="1" pivotButton="0" quotePrefix="0" xfId="0">
      <alignment vertical="center"/>
      <protection locked="0" hidden="0"/>
    </xf>
    <xf numFmtId="0" fontId="4" fillId="3" borderId="18" applyAlignment="1" applyProtection="1" pivotButton="0" quotePrefix="0" xfId="0">
      <alignment horizontal="center" vertical="center"/>
      <protection locked="1" hidden="1"/>
    </xf>
    <xf numFmtId="0" fontId="3" fillId="2" borderId="10" applyAlignment="1" applyProtection="1" pivotButton="0" quotePrefix="0" xfId="0">
      <alignment vertical="center" wrapText="1"/>
      <protection locked="0" hidden="0"/>
    </xf>
    <xf numFmtId="0" fontId="3" fillId="2" borderId="34" applyAlignment="1" applyProtection="1" pivotButton="0" quotePrefix="0" xfId="0">
      <alignment horizontal="center" vertical="top" wrapText="1"/>
      <protection locked="0" hidden="0"/>
    </xf>
    <xf numFmtId="0" fontId="3" fillId="2" borderId="31" applyAlignment="1" applyProtection="1" pivotButton="0" quotePrefix="0" xfId="0">
      <alignment horizontal="center" vertical="top"/>
      <protection locked="0" hidden="0"/>
    </xf>
    <xf numFmtId="0" fontId="3" fillId="2" borderId="31" applyAlignment="1" applyProtection="1" pivotButton="0" quotePrefix="0" xfId="0">
      <alignment horizontal="center" vertical="top" wrapText="1"/>
      <protection locked="0" hidden="0"/>
    </xf>
    <xf numFmtId="0" fontId="3" fillId="4" borderId="32" applyAlignment="1" applyProtection="1" pivotButton="0" quotePrefix="0" xfId="0">
      <alignment horizontal="center" vertical="center"/>
      <protection locked="0" hidden="0"/>
    </xf>
    <xf numFmtId="0" fontId="3" fillId="7" borderId="32" applyAlignment="1" applyProtection="1" pivotButton="0" quotePrefix="0" xfId="0">
      <alignment horizontal="center" vertical="center"/>
      <protection locked="0" hidden="0"/>
    </xf>
    <xf numFmtId="0" fontId="3" fillId="10" borderId="32" applyAlignment="1" applyProtection="1" pivotButton="0" quotePrefix="0" xfId="0">
      <alignment horizontal="center" vertical="center"/>
      <protection locked="0" hidden="0"/>
    </xf>
    <xf numFmtId="0" fontId="3" fillId="5" borderId="32" applyAlignment="1" applyProtection="1" pivotButton="0" quotePrefix="0" xfId="0">
      <alignment horizontal="center" vertical="center"/>
      <protection locked="0" hidden="0"/>
    </xf>
    <xf numFmtId="0" fontId="6" fillId="11" borderId="36" applyAlignment="1" applyProtection="1" pivotButton="0" quotePrefix="0" xfId="0">
      <alignment horizontal="center" vertical="center" wrapText="1"/>
      <protection locked="0" hidden="0"/>
    </xf>
    <xf numFmtId="0" fontId="6" fillId="8" borderId="36" applyAlignment="1" applyProtection="1" pivotButton="0" quotePrefix="0" xfId="0">
      <alignment horizontal="center" vertical="center" wrapText="1"/>
      <protection locked="0" hidden="0"/>
    </xf>
    <xf numFmtId="0" fontId="3" fillId="2" borderId="36" applyAlignment="1" applyProtection="1" pivotButton="0" quotePrefix="0" xfId="0">
      <alignment horizontal="center" vertical="center" wrapText="1"/>
      <protection locked="0" hidden="0"/>
    </xf>
    <xf numFmtId="0" fontId="3" fillId="2" borderId="38" applyAlignment="1" applyProtection="1" pivotButton="0" quotePrefix="0" xfId="0">
      <alignment horizontal="center" vertical="center" wrapText="1"/>
      <protection locked="0" hidden="0"/>
    </xf>
    <xf numFmtId="0" fontId="2" fillId="16" borderId="25" applyAlignment="1" applyProtection="1" pivotButton="0" quotePrefix="0" xfId="0">
      <alignment horizontal="center" vertical="center"/>
      <protection locked="0" hidden="0"/>
    </xf>
    <xf numFmtId="0" fontId="2" fillId="16" borderId="30" applyAlignment="1" applyProtection="1" pivotButton="0" quotePrefix="0" xfId="0">
      <alignment horizontal="center" vertical="center"/>
      <protection locked="0" hidden="0"/>
    </xf>
    <xf numFmtId="0" fontId="10" fillId="0" borderId="6" applyAlignment="1" applyProtection="1" pivotButton="0" quotePrefix="0" xfId="0">
      <alignment horizontal="left" vertical="center" wrapText="1" indent="1"/>
      <protection locked="0" hidden="0"/>
    </xf>
    <xf numFmtId="0" fontId="3" fillId="6" borderId="14" applyAlignment="1" applyProtection="1" pivotButton="0" quotePrefix="0" xfId="0">
      <alignment horizontal="center" vertical="center"/>
      <protection locked="0" hidden="0"/>
    </xf>
    <xf numFmtId="0" fontId="3" fillId="17" borderId="14" applyAlignment="1" applyProtection="1" pivotButton="0" quotePrefix="0" xfId="0">
      <alignment horizontal="center" vertical="center"/>
      <protection locked="0" hidden="0"/>
    </xf>
    <xf numFmtId="164" fontId="14" fillId="14" borderId="2" applyAlignment="1" applyProtection="1" pivotButton="0" quotePrefix="0" xfId="0">
      <alignment horizontal="center" vertical="center"/>
      <protection locked="1" hidden="1"/>
    </xf>
    <xf numFmtId="0" fontId="11" fillId="3" borderId="2" applyAlignment="1" pivotButton="0" quotePrefix="0" xfId="0">
      <alignment vertical="center" wrapText="1"/>
    </xf>
    <xf numFmtId="0" fontId="12" fillId="3" borderId="2" applyAlignment="1" pivotButton="0" quotePrefix="0" xfId="0">
      <alignment horizontal="center" vertical="center"/>
    </xf>
    <xf numFmtId="0" fontId="13" fillId="0" borderId="2" applyAlignment="1" applyProtection="1" pivotButton="0" quotePrefix="0" xfId="0">
      <alignment horizontal="left" vertical="center" wrapText="1" indent="1"/>
      <protection locked="0" hidden="0"/>
    </xf>
    <xf numFmtId="0" fontId="13" fillId="0" borderId="1" applyAlignment="1" applyProtection="1" pivotButton="0" quotePrefix="0" xfId="0">
      <alignment horizontal="center" vertical="center"/>
      <protection locked="0" hidden="0"/>
    </xf>
    <xf numFmtId="0" fontId="6" fillId="2" borderId="19" applyAlignment="1" applyProtection="1" pivotButton="0" quotePrefix="0" xfId="0">
      <alignment horizontal="center" vertical="top"/>
      <protection locked="0" hidden="0"/>
    </xf>
    <xf numFmtId="0" fontId="6" fillId="2" borderId="0" applyAlignment="1" applyProtection="1" pivotButton="0" quotePrefix="0" xfId="0">
      <alignment horizontal="center" vertical="top"/>
      <protection locked="0" hidden="0"/>
    </xf>
    <xf numFmtId="0" fontId="6" fillId="2" borderId="0" applyAlignment="1" applyProtection="1" pivotButton="0" quotePrefix="0" xfId="0">
      <alignment horizontal="center" vertical="top" wrapText="1"/>
      <protection locked="0" hidden="0"/>
    </xf>
    <xf numFmtId="0" fontId="6" fillId="2" borderId="35" applyAlignment="1" applyProtection="1" pivotButton="0" quotePrefix="0" xfId="0">
      <alignment horizontal="center" vertical="top" wrapText="1"/>
      <protection locked="0" hidden="0"/>
    </xf>
    <xf numFmtId="0" fontId="6" fillId="2" borderId="16" applyAlignment="1" applyProtection="1" pivotButton="0" quotePrefix="0" xfId="0">
      <alignment horizontal="center" vertical="center" wrapText="1"/>
      <protection locked="0" hidden="0"/>
    </xf>
    <xf numFmtId="0" fontId="6" fillId="2" borderId="10" applyAlignment="1" pivotButton="0" quotePrefix="0" xfId="0">
      <alignment horizontal="center" vertical="center"/>
    </xf>
    <xf numFmtId="0" fontId="6" fillId="2" borderId="12" applyAlignment="1" pivotButton="0" quotePrefix="0" xfId="0">
      <alignment horizontal="center" vertical="center"/>
    </xf>
    <xf numFmtId="0" fontId="6" fillId="2" borderId="12" applyAlignment="1" pivotButton="0" quotePrefix="0" xfId="0">
      <alignment horizontal="center" vertical="center" wrapText="1"/>
    </xf>
    <xf numFmtId="0" fontId="6" fillId="2" borderId="26" applyAlignment="1" pivotButton="0" quotePrefix="0" xfId="0">
      <alignment horizontal="center" vertical="center" wrapText="1"/>
    </xf>
    <xf numFmtId="0" fontId="6" fillId="2" borderId="15" applyAlignment="1" pivotButton="0" quotePrefix="0" xfId="0">
      <alignment horizontal="center" vertical="center" wrapText="1"/>
    </xf>
    <xf numFmtId="0" fontId="15" fillId="0" borderId="0" applyProtection="1" pivotButton="0" quotePrefix="0" xfId="0">
      <protection locked="0" hidden="0"/>
    </xf>
    <xf numFmtId="0" fontId="1" fillId="0" borderId="1" applyAlignment="1" pivotButton="0" quotePrefix="0" xfId="0">
      <alignment horizontal="center" vertical="center"/>
    </xf>
    <xf numFmtId="0" fontId="1" fillId="0" borderId="2" applyAlignment="1" pivotButton="0" quotePrefix="0" xfId="0">
      <alignment vertical="center" wrapText="1"/>
    </xf>
    <xf numFmtId="0" fontId="1" fillId="0" borderId="3" applyAlignment="1" pivotButton="0" quotePrefix="0" xfId="0">
      <alignment vertical="center"/>
    </xf>
    <xf numFmtId="0" fontId="1" fillId="0" borderId="6" applyAlignment="1" pivotButton="0" quotePrefix="0" xfId="0">
      <alignment horizontal="left" vertical="center" wrapText="1"/>
    </xf>
    <xf numFmtId="0" fontId="1" fillId="0" borderId="6" applyAlignment="1" pivotButton="0" quotePrefix="0" xfId="0">
      <alignment horizontal="left" vertical="center" wrapText="1" indent="1"/>
    </xf>
    <xf numFmtId="0" fontId="1" fillId="0" borderId="21" applyAlignment="1" pivotButton="0" quotePrefix="0" xfId="0">
      <alignment vertical="center" wrapText="1"/>
    </xf>
    <xf numFmtId="0" fontId="1" fillId="0" borderId="22" applyAlignment="1" pivotButton="0" quotePrefix="0" xfId="0">
      <alignment vertical="center"/>
    </xf>
    <xf numFmtId="0" fontId="1" fillId="0" borderId="7" applyAlignment="1" pivotButton="0" quotePrefix="0" xfId="0">
      <alignment horizontal="left" vertical="center" wrapText="1" indent="1"/>
    </xf>
    <xf numFmtId="0" fontId="1" fillId="0" borderId="20" applyAlignment="1" pivotButton="0" quotePrefix="0" xfId="0">
      <alignment horizontal="center" vertical="center"/>
    </xf>
    <xf numFmtId="0" fontId="1" fillId="0" borderId="1" applyAlignment="1" applyProtection="1" pivotButton="0" quotePrefix="0" xfId="0">
      <alignment horizontal="center" vertical="center"/>
      <protection locked="1" hidden="1"/>
    </xf>
    <xf numFmtId="0" fontId="1" fillId="0" borderId="2" applyAlignment="1" applyProtection="1" pivotButton="0" quotePrefix="0" xfId="0">
      <alignment vertical="center" wrapText="1"/>
      <protection locked="1" hidden="1"/>
    </xf>
    <xf numFmtId="0" fontId="1" fillId="0" borderId="8" applyAlignment="1" applyProtection="1" pivotButton="0" quotePrefix="0" xfId="0">
      <alignment vertical="center" wrapText="1"/>
      <protection locked="1" hidden="1"/>
    </xf>
    <xf numFmtId="0" fontId="1" fillId="0" borderId="24" applyAlignment="1" applyProtection="1" pivotButton="0" quotePrefix="0" xfId="0">
      <alignment vertical="center"/>
      <protection locked="1" hidden="1"/>
    </xf>
    <xf numFmtId="0" fontId="1" fillId="0" borderId="2" applyAlignment="1" applyProtection="1" pivotButton="0" quotePrefix="0" xfId="0">
      <alignment horizontal="center" vertical="center" wrapText="1"/>
      <protection locked="0" hidden="0"/>
    </xf>
    <xf numFmtId="0" fontId="1" fillId="0" borderId="6" applyAlignment="1" applyProtection="1" pivotButton="0" quotePrefix="0" xfId="0">
      <alignment horizontal="left" vertical="center" wrapText="1" indent="1"/>
      <protection locked="0" hidden="0"/>
    </xf>
    <xf numFmtId="0" fontId="1" fillId="3" borderId="7" applyAlignment="1" applyProtection="1" pivotButton="0" quotePrefix="0" xfId="0">
      <alignment horizontal="center" vertical="center" wrapText="1"/>
      <protection locked="0" hidden="0"/>
    </xf>
    <xf numFmtId="0" fontId="1" fillId="0" borderId="33" applyAlignment="1" applyProtection="1" pivotButton="0" quotePrefix="0" xfId="0">
      <alignment horizontal="center" vertical="center"/>
      <protection locked="0" hidden="0"/>
    </xf>
    <xf numFmtId="0" fontId="1" fillId="0" borderId="21" applyAlignment="1" applyProtection="1" pivotButton="0" quotePrefix="0" xfId="0">
      <alignment vertical="center" wrapText="1"/>
      <protection locked="1" hidden="1"/>
    </xf>
    <xf numFmtId="0" fontId="1" fillId="0" borderId="18" applyAlignment="1" applyProtection="1" pivotButton="0" quotePrefix="0" xfId="0">
      <alignment horizontal="center" vertical="center"/>
      <protection locked="0" hidden="0"/>
    </xf>
    <xf numFmtId="0" fontId="1" fillId="0" borderId="7" applyAlignment="1" applyProtection="1" pivotButton="0" quotePrefix="0" xfId="0">
      <alignment horizontal="left" vertical="center" wrapText="1" indent="1"/>
      <protection locked="0" hidden="0"/>
    </xf>
    <xf numFmtId="0" fontId="1" fillId="0" borderId="9" applyAlignment="1" applyProtection="1" pivotButton="0" quotePrefix="0" xfId="0">
      <alignment vertical="center" wrapText="1"/>
      <protection locked="1" hidden="1"/>
    </xf>
    <xf numFmtId="0" fontId="1" fillId="0" borderId="37" applyAlignment="1" applyProtection="1" pivotButton="0" quotePrefix="0" xfId="0">
      <alignment horizontal="center" vertical="center"/>
      <protection locked="0" hidden="0"/>
    </xf>
    <xf numFmtId="0" fontId="1" fillId="0" borderId="41" applyAlignment="1" applyProtection="1" pivotButton="0" quotePrefix="0" xfId="0">
      <alignment horizontal="center" vertical="center"/>
      <protection locked="0" hidden="0"/>
    </xf>
    <xf numFmtId="0" fontId="1" fillId="0" borderId="2" applyAlignment="1" applyProtection="1" pivotButton="0" quotePrefix="0" xfId="0">
      <alignment horizontal="center" vertical="center"/>
      <protection locked="0" hidden="0"/>
    </xf>
    <xf numFmtId="165" fontId="1" fillId="0" borderId="2" applyAlignment="1" applyProtection="1" pivotButton="0" quotePrefix="0" xfId="3">
      <alignment horizontal="center" vertical="center"/>
      <protection locked="1" hidden="1"/>
    </xf>
    <xf numFmtId="164" fontId="1" fillId="0" borderId="2" applyAlignment="1" applyProtection="1" pivotButton="0" quotePrefix="0" xfId="0">
      <alignment horizontal="center" vertical="center"/>
      <protection locked="1" hidden="1"/>
    </xf>
    <xf numFmtId="0" fontId="1" fillId="0" borderId="39" applyAlignment="1" applyProtection="1" pivotButton="0" quotePrefix="0" xfId="0">
      <alignment horizontal="left" vertical="center" wrapText="1" indent="1"/>
      <protection locked="0" hidden="0"/>
    </xf>
    <xf numFmtId="0" fontId="1" fillId="0" borderId="1" applyAlignment="1" applyProtection="1" pivotButton="0" quotePrefix="0" xfId="0">
      <alignment horizontal="center" vertical="center"/>
      <protection locked="0" hidden="0"/>
    </xf>
    <xf numFmtId="0" fontId="1" fillId="0" borderId="25" applyAlignment="1" applyProtection="1" pivotButton="0" quotePrefix="0" xfId="0">
      <alignment horizontal="center" vertical="center"/>
      <protection locked="0" hidden="0"/>
    </xf>
    <xf numFmtId="0" fontId="1" fillId="0" borderId="39" applyAlignment="1" applyProtection="1" pivotButton="0" quotePrefix="0" xfId="0">
      <alignment horizontal="left" vertical="top" wrapText="1"/>
      <protection locked="0" hidden="0"/>
    </xf>
    <xf numFmtId="0" fontId="1" fillId="0" borderId="39" applyAlignment="1" applyProtection="1" pivotButton="0" quotePrefix="0" xfId="0">
      <alignment horizontal="left" vertical="top" wrapText="1" indent="1"/>
      <protection locked="0" hidden="0"/>
    </xf>
    <xf numFmtId="0" fontId="1" fillId="0" borderId="2" applyAlignment="1" applyProtection="1" pivotButton="0" quotePrefix="0" xfId="0">
      <alignment vertical="center"/>
      <protection locked="0" hidden="0"/>
    </xf>
    <xf numFmtId="0" fontId="1" fillId="0" borderId="2" applyAlignment="1" applyProtection="1" pivotButton="0" quotePrefix="0" xfId="0">
      <alignment horizontal="left" vertical="center" wrapText="1" indent="1"/>
      <protection locked="0" hidden="0"/>
    </xf>
    <xf numFmtId="164" fontId="1" fillId="0" borderId="4" applyAlignment="1" applyProtection="1" pivotButton="0" quotePrefix="0" xfId="0">
      <alignment horizontal="center" vertical="center"/>
      <protection locked="1" hidden="1"/>
    </xf>
    <xf numFmtId="0" fontId="1" fillId="0" borderId="20" applyAlignment="1" applyProtection="1" pivotButton="0" quotePrefix="0" xfId="0">
      <alignment horizontal="center" vertical="center"/>
      <protection locked="0" hidden="0"/>
    </xf>
    <xf numFmtId="0" fontId="1" fillId="0" borderId="21" applyAlignment="1" applyProtection="1" pivotButton="0" quotePrefix="0" xfId="0">
      <alignment vertical="center"/>
      <protection locked="0" hidden="0"/>
    </xf>
    <xf numFmtId="0" fontId="1" fillId="0" borderId="30" applyAlignment="1" applyProtection="1" pivotButton="0" quotePrefix="0" xfId="0">
      <alignment horizontal="center" vertical="center"/>
      <protection locked="0" hidden="0"/>
    </xf>
    <xf numFmtId="0" fontId="1" fillId="0" borderId="21" applyAlignment="1" applyProtection="1" pivotButton="0" quotePrefix="0" xfId="0">
      <alignment horizontal="center" vertical="center"/>
      <protection locked="0" hidden="0"/>
    </xf>
    <xf numFmtId="164" fontId="1" fillId="0" borderId="21" applyAlignment="1" applyProtection="1" pivotButton="0" quotePrefix="0" xfId="0">
      <alignment horizontal="center" vertical="center"/>
      <protection locked="1" hidden="1"/>
    </xf>
    <xf numFmtId="0" fontId="1" fillId="0" borderId="21" applyAlignment="1" applyProtection="1" pivotButton="0" quotePrefix="0" xfId="0">
      <alignment horizontal="left" vertical="center" wrapText="1" indent="1"/>
      <protection locked="0" hidden="0"/>
    </xf>
    <xf numFmtId="0" fontId="1" fillId="0" borderId="40" applyAlignment="1" applyProtection="1" pivotButton="0" quotePrefix="0" xfId="0">
      <alignment horizontal="left" vertical="center" wrapText="1" indent="1"/>
      <protection locked="0" hidden="0"/>
    </xf>
    <xf numFmtId="164" fontId="1" fillId="0" borderId="5" applyAlignment="1" applyProtection="1" pivotButton="0" quotePrefix="0" xfId="0">
      <alignment horizontal="center" vertical="center"/>
      <protection locked="1" hidden="1"/>
    </xf>
    <xf numFmtId="0" fontId="16" fillId="0" borderId="0" pivotButton="0" quotePrefix="0" xfId="0"/>
    <xf numFmtId="0" fontId="0" fillId="0" borderId="0" applyAlignment="1" pivotButton="0" quotePrefix="0" xfId="0">
      <alignment wrapText="1"/>
    </xf>
    <xf numFmtId="0" fontId="17" fillId="2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21" borderId="0" applyAlignment="1" pivotButton="0" quotePrefix="0" xfId="0">
      <alignment horizontal="center" vertical="center"/>
    </xf>
    <xf numFmtId="0" fontId="0" fillId="22" borderId="0" applyAlignment="1" pivotButton="0" quotePrefix="0" xfId="0">
      <alignment horizontal="center" vertical="center"/>
    </xf>
    <xf numFmtId="0" fontId="0" fillId="23" borderId="0" applyAlignment="1" pivotButton="0" quotePrefix="0" xfId="0">
      <alignment horizontal="center" vertical="center"/>
    </xf>
    <xf numFmtId="0" fontId="1" fillId="0" borderId="6" applyAlignment="1" applyProtection="1" pivotButton="0" quotePrefix="0" xfId="0">
      <alignment vertical="top" wrapText="1"/>
      <protection locked="0" hidden="0"/>
    </xf>
    <xf numFmtId="0" fontId="6" fillId="18" borderId="29" applyAlignment="1" applyProtection="1" pivotButton="0" quotePrefix="0" xfId="0">
      <alignment horizontal="center" vertical="center"/>
      <protection locked="0" hidden="0"/>
    </xf>
    <xf numFmtId="0" fontId="0" fillId="0" borderId="27" applyProtection="1" pivotButton="0" quotePrefix="0" xfId="0">
      <protection locked="0" hidden="0"/>
    </xf>
    <xf numFmtId="0" fontId="6" fillId="6" borderId="29" applyAlignment="1" applyProtection="1" pivotButton="0" quotePrefix="0" xfId="0">
      <alignment horizontal="center" vertical="center"/>
      <protection locked="0" hidden="0"/>
    </xf>
    <xf numFmtId="0" fontId="6" fillId="19" borderId="29" applyAlignment="1" applyProtection="1" pivotButton="0" quotePrefix="0" xfId="0">
      <alignment horizontal="center" vertical="center"/>
      <protection locked="0" hidden="0"/>
    </xf>
    <xf numFmtId="0" fontId="6" fillId="9" borderId="28" applyAlignment="1" applyProtection="1" pivotButton="0" quotePrefix="0" xfId="0">
      <alignment horizontal="center" vertical="center"/>
      <protection locked="0" hidden="0"/>
    </xf>
    <xf numFmtId="0" fontId="0" fillId="0" borderId="28" applyProtection="1" pivotButton="0" quotePrefix="0" xfId="0">
      <protection locked="0" hidden="0"/>
    </xf>
    <xf numFmtId="0" fontId="6" fillId="4" borderId="29" applyAlignment="1" applyProtection="1" pivotButton="0" quotePrefix="0" xfId="0">
      <alignment horizontal="center" vertical="center"/>
      <protection locked="0" hidden="0"/>
    </xf>
    <xf numFmtId="0" fontId="6" fillId="10" borderId="29" applyAlignment="1" applyProtection="1" pivotButton="0" quotePrefix="0" xfId="0">
      <alignment horizontal="center" vertical="center"/>
      <protection locked="0" hidden="0"/>
    </xf>
    <xf numFmtId="0" fontId="1" fillId="0" borderId="42" applyAlignment="1" applyProtection="1" pivotButton="0" quotePrefix="0" xfId="0">
      <alignment horizontal="center" vertical="center" wrapText="1"/>
      <protection locked="0" hidden="0"/>
    </xf>
    <xf numFmtId="0" fontId="0" fillId="0" borderId="8" applyProtection="1" pivotButton="0" quotePrefix="0" xfId="0">
      <protection locked="0" hidden="0"/>
    </xf>
    <xf numFmtId="0" fontId="0" fillId="0" borderId="6" applyProtection="1" pivotButton="0" quotePrefix="0" xfId="0">
      <protection locked="0" hidden="0"/>
    </xf>
    <xf numFmtId="0" fontId="3" fillId="12" borderId="11" applyAlignment="1" applyProtection="1" pivotButton="0" quotePrefix="0" xfId="0">
      <alignment horizontal="center" vertical="center"/>
      <protection locked="0" hidden="0"/>
    </xf>
    <xf numFmtId="0" fontId="0" fillId="0" borderId="13" applyProtection="1" pivotButton="0" quotePrefix="0" xfId="0">
      <protection locked="0" hidden="0"/>
    </xf>
    <xf numFmtId="0" fontId="3" fillId="9" borderId="43" applyAlignment="1" applyProtection="1" pivotButton="0" quotePrefix="0" xfId="0">
      <alignment horizontal="center" vertical="center"/>
      <protection locked="0" hidden="0"/>
    </xf>
    <xf numFmtId="0" fontId="3" fillId="13" borderId="13" applyAlignment="1" applyProtection="1" pivotButton="0" quotePrefix="0" xfId="0">
      <alignment horizontal="center" vertical="center"/>
      <protection locked="0" hidden="0"/>
    </xf>
    <xf numFmtId="0" fontId="0" fillId="24" borderId="0" applyAlignment="1" pivotButton="0" quotePrefix="0" xfId="0">
      <alignment horizontal="center" vertical="center"/>
    </xf>
    <xf numFmtId="0" fontId="18" fillId="0" borderId="0" pivotButton="0" quotePrefix="0" xfId="0"/>
    <xf numFmtId="0" fontId="19" fillId="25" borderId="0" pivotButton="0" quotePrefix="0" xfId="0"/>
    <xf numFmtId="0" fontId="0" fillId="0" borderId="0" applyAlignment="1" pivotButton="0" quotePrefix="0" xfId="0">
      <alignment vertical="center" wrapText="1"/>
    </xf>
    <xf numFmtId="0" fontId="20" fillId="0" borderId="0" pivotButton="0" quotePrefix="0" xfId="0"/>
    <xf numFmtId="165" fontId="1" fillId="0" borderId="2" applyAlignment="1" applyProtection="1" pivotButton="0" quotePrefix="0" xfId="3">
      <alignment horizontal="center" vertical="center"/>
      <protection locked="1" hidden="1"/>
    </xf>
  </cellXfs>
  <cellStyles count="4">
    <cellStyle name="Normal" xfId="0" builtinId="0"/>
    <cellStyle name="Normal 3" xfId="1"/>
    <cellStyle name="Normal 2 2" xfId="2"/>
    <cellStyle name="Comma" xfId="3" builtinId="3"/>
  </cellStyles>
  <dxfs count="14">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fill>
        <patternFill>
          <fgColor indexed="64"/>
          <bgColor indexed="6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FF00"/>
    <outlinePr summaryBelow="1" summaryRight="1"/>
    <pageSetUpPr/>
  </sheetPr>
  <dimension ref="B2:H202"/>
  <sheetViews>
    <sheetView showGridLines="0" showRowColHeaders="0" zoomScale="90" zoomScaleNormal="90" workbookViewId="0">
      <pane xSplit="1" ySplit="2" topLeftCell="B3" activePane="bottomRight" state="frozen"/>
      <selection pane="topRight" activeCell="B1" sqref="B1"/>
      <selection pane="bottomLeft" activeCell="A4" sqref="A4"/>
      <selection pane="bottomRight" activeCell="J16" sqref="J16"/>
    </sheetView>
  </sheetViews>
  <sheetFormatPr baseColWidth="8" defaultColWidth="8.85546875" defaultRowHeight="15"/>
  <cols>
    <col width="2.42578125" customWidth="1" min="1" max="1"/>
    <col width="7.42578125" bestFit="1" customWidth="1" min="2" max="2"/>
    <col width="50.28515625" customWidth="1" min="3" max="4"/>
    <col width="14.85546875" customWidth="1" min="5" max="5"/>
    <col width="27.7109375" bestFit="1" customWidth="1" min="6" max="6"/>
    <col width="12.140625" bestFit="1" customWidth="1" min="7" max="7"/>
    <col width="52.42578125" customWidth="1" min="8" max="8"/>
  </cols>
  <sheetData>
    <row r="1" ht="15.75" customHeight="1" thickBot="1"/>
    <row r="2" ht="82.5" customHeight="1">
      <c r="B2" s="45" t="inlineStr">
        <is>
          <t>RQ #</t>
        </is>
      </c>
      <c r="C2" s="46" t="inlineStr">
        <is>
          <t>Requirements / Use Cases</t>
        </is>
      </c>
      <c r="D2" s="47" t="inlineStr">
        <is>
          <t>Minimum Acceptance Criteria
/ Expected outcome</t>
        </is>
      </c>
      <c r="E2" s="48" t="inlineStr">
        <is>
          <t>Requirement Type</t>
        </is>
      </c>
      <c r="F2" s="47" t="inlineStr">
        <is>
          <t>Requirement
Category</t>
        </is>
      </c>
      <c r="G2" s="47" t="inlineStr">
        <is>
          <t>Weightage
1 = Low
2 = High
3 = Critical</t>
        </is>
      </c>
      <c r="H2" s="49" t="inlineStr">
        <is>
          <t>Comments</t>
        </is>
      </c>
    </row>
    <row r="3">
      <c r="B3" s="51" t="inlineStr">
        <is>
          <t>RQ. 01</t>
        </is>
      </c>
      <c r="C3" s="52" t="inlineStr">
        <is>
          <t>Backup and restore for Sharepoint data</t>
        </is>
      </c>
      <c r="D3" s="52" t="inlineStr">
        <is>
          <t>Restore granular Sharepoint data</t>
        </is>
      </c>
      <c r="E3" s="3" t="inlineStr">
        <is>
          <t>Functional</t>
        </is>
      </c>
      <c r="F3" s="53" t="inlineStr">
        <is>
          <t>Functional Capabilities</t>
        </is>
      </c>
      <c r="G3" s="2" t="n">
        <v>3</v>
      </c>
      <c r="H3" s="54" t="n"/>
    </row>
    <row r="4">
      <c r="B4" s="51" t="inlineStr">
        <is>
          <t>RQ. 02</t>
        </is>
      </c>
      <c r="C4" s="52" t="inlineStr">
        <is>
          <t>Backup and restore for Onedrive data</t>
        </is>
      </c>
      <c r="D4" s="52" t="inlineStr">
        <is>
          <t>Restore granular Onedrive data</t>
        </is>
      </c>
      <c r="E4" s="3" t="inlineStr">
        <is>
          <t>Functional</t>
        </is>
      </c>
      <c r="F4" s="53" t="inlineStr">
        <is>
          <t>Functional Capabilities</t>
        </is>
      </c>
      <c r="G4" s="2" t="n">
        <v>3</v>
      </c>
      <c r="H4" s="54" t="n"/>
    </row>
    <row r="5">
      <c r="B5" s="51" t="inlineStr">
        <is>
          <t>RQ. 03</t>
        </is>
      </c>
      <c r="C5" s="52" t="inlineStr">
        <is>
          <t>Backup and restore for Exchange Online data</t>
        </is>
      </c>
      <c r="D5" s="52" t="inlineStr">
        <is>
          <t>Restore granular Exchange data (email, calendar).</t>
        </is>
      </c>
      <c r="E5" s="3" t="inlineStr">
        <is>
          <t>Functional</t>
        </is>
      </c>
      <c r="F5" s="53" t="inlineStr">
        <is>
          <t>Functional Capabilities</t>
        </is>
      </c>
      <c r="G5" s="2" t="n">
        <v>3</v>
      </c>
      <c r="H5" s="54" t="n"/>
    </row>
    <row r="6">
      <c r="B6" s="51" t="inlineStr">
        <is>
          <t>RQ. 04</t>
        </is>
      </c>
      <c r="C6" s="52" t="inlineStr">
        <is>
          <t xml:space="preserve">Backup and restore for Teams </t>
        </is>
      </c>
      <c r="D6" s="52" t="inlineStr">
        <is>
          <t>Restore granular teams chats</t>
        </is>
      </c>
      <c r="E6" s="3" t="inlineStr">
        <is>
          <t>Functional</t>
        </is>
      </c>
      <c r="F6" s="53" t="inlineStr">
        <is>
          <t>Functional Capabilities</t>
        </is>
      </c>
      <c r="G6" s="2" t="n">
        <v>3</v>
      </c>
      <c r="H6" s="54" t="n"/>
    </row>
    <row r="7">
      <c r="B7" s="51" t="inlineStr">
        <is>
          <t>RQ. 05</t>
        </is>
      </c>
      <c r="C7" s="52" t="inlineStr">
        <is>
          <t>Backup and restore for Entra ID</t>
        </is>
      </c>
      <c r="D7" s="52" t="inlineStr">
        <is>
          <t>Restore granular Entra ID data</t>
        </is>
      </c>
      <c r="E7" s="3" t="inlineStr">
        <is>
          <t>Functional</t>
        </is>
      </c>
      <c r="F7" s="53" t="inlineStr">
        <is>
          <t>Functional Capabilities</t>
        </is>
      </c>
      <c r="G7" s="2" t="n">
        <v>3</v>
      </c>
      <c r="H7" s="54" t="n"/>
    </row>
    <row r="8" ht="38.25" customHeight="1">
      <c r="B8" s="51" t="inlineStr">
        <is>
          <t>RQ. 06</t>
        </is>
      </c>
      <c r="C8" s="52" t="inlineStr">
        <is>
          <t>Supports backup across different CSP backup storages for secondary backup copy.</t>
        </is>
      </c>
      <c r="D8" s="52" t="inlineStr">
        <is>
          <t>Able to store backup in seperate location to the primary storage and also have a capability to store backup in different CSPs.</t>
        </is>
      </c>
      <c r="E8" s="3" t="inlineStr">
        <is>
          <t>Functional</t>
        </is>
      </c>
      <c r="F8" s="53" t="inlineStr">
        <is>
          <t>Resillience</t>
        </is>
      </c>
      <c r="G8" s="2" t="n">
        <v>2</v>
      </c>
      <c r="H8" s="54" t="n"/>
    </row>
    <row r="9">
      <c r="B9" s="51" t="inlineStr">
        <is>
          <t>RQ. 07</t>
        </is>
      </c>
      <c r="C9" s="52" t="inlineStr">
        <is>
          <t>Support long term retention up to 10 years.</t>
        </is>
      </c>
      <c r="D9" s="52" t="inlineStr">
        <is>
          <t>Set retention to 7 to 10 years or above.</t>
        </is>
      </c>
      <c r="E9" s="3" t="inlineStr">
        <is>
          <t>Non-Functional</t>
        </is>
      </c>
      <c r="F9" s="53" t="inlineStr">
        <is>
          <t>Regulatory Compliance</t>
        </is>
      </c>
      <c r="G9" s="2" t="n">
        <v>3</v>
      </c>
      <c r="H9" s="54" t="n"/>
    </row>
    <row r="10">
      <c r="B10" s="51" t="inlineStr">
        <is>
          <t>RQ. 08</t>
        </is>
      </c>
      <c r="C10" s="52" t="inlineStr">
        <is>
          <t>Support Okta or Entra ID for role-based access control.</t>
        </is>
      </c>
      <c r="D10" s="52" t="inlineStr">
        <is>
          <t>Integrated with AIA Identity management</t>
        </is>
      </c>
      <c r="E10" s="3" t="inlineStr">
        <is>
          <t>Non-Functional</t>
        </is>
      </c>
      <c r="F10" s="53" t="inlineStr">
        <is>
          <t>Access Controls</t>
        </is>
      </c>
      <c r="G10" s="2" t="n">
        <v>3</v>
      </c>
      <c r="H10" s="54" t="n"/>
    </row>
    <row r="11" ht="25.5" customHeight="1">
      <c r="B11" s="51" t="inlineStr">
        <is>
          <t>RQ. 09</t>
        </is>
      </c>
      <c r="C11" s="52" t="inlineStr">
        <is>
          <t>Support 15-30 mins user timeout on admin console.</t>
        </is>
      </c>
      <c r="D11" s="52" t="inlineStr">
        <is>
          <t>Prevent unauthorized access to sensitive data when a user leaves a session unattended.</t>
        </is>
      </c>
      <c r="E11" s="3" t="inlineStr">
        <is>
          <t>Non-Functional</t>
        </is>
      </c>
      <c r="F11" s="53" t="inlineStr">
        <is>
          <t>Information Security</t>
        </is>
      </c>
      <c r="G11" s="2" t="n">
        <v>2</v>
      </c>
      <c r="H11" s="54" t="n"/>
    </row>
    <row r="12">
      <c r="B12" s="51" t="inlineStr">
        <is>
          <t>RQ. 10</t>
        </is>
      </c>
      <c r="C12" s="52" t="inlineStr">
        <is>
          <t>Support storage account tiering (hot, cold, archive).</t>
        </is>
      </c>
      <c r="D12" s="52" t="inlineStr">
        <is>
          <t>Storage Optimization</t>
        </is>
      </c>
      <c r="E12" s="3" t="inlineStr">
        <is>
          <t>Non-Functional</t>
        </is>
      </c>
      <c r="F12" s="53" t="inlineStr">
        <is>
          <t>Cloud Readiness</t>
        </is>
      </c>
      <c r="G12" s="2" t="n">
        <v>2</v>
      </c>
      <c r="H12" s="54" t="n"/>
    </row>
    <row r="13">
      <c r="B13" s="51" t="inlineStr">
        <is>
          <t>RQ. 11</t>
        </is>
      </c>
      <c r="C13" s="52" t="inlineStr">
        <is>
          <t>Support data deduplication</t>
        </is>
      </c>
      <c r="D13" s="52" t="inlineStr">
        <is>
          <t>Storage Optimization</t>
        </is>
      </c>
      <c r="E13" s="3" t="inlineStr">
        <is>
          <t>Non-Functional</t>
        </is>
      </c>
      <c r="F13" s="53" t="inlineStr">
        <is>
          <t>Operations</t>
        </is>
      </c>
      <c r="G13" s="2" t="n">
        <v>2</v>
      </c>
      <c r="H13" s="54" t="n"/>
    </row>
    <row r="14">
      <c r="B14" s="51" t="inlineStr">
        <is>
          <t>RQ. 12</t>
        </is>
      </c>
      <c r="C14" s="52" t="inlineStr">
        <is>
          <t>SaaS model</t>
        </is>
      </c>
      <c r="D14" s="52" t="inlineStr">
        <is>
          <t>Using a subscription model</t>
        </is>
      </c>
      <c r="E14" s="3" t="inlineStr">
        <is>
          <t>Optional</t>
        </is>
      </c>
      <c r="F14" s="53" t="inlineStr">
        <is>
          <t>Architecture</t>
        </is>
      </c>
      <c r="G14" s="2" t="n">
        <v>1</v>
      </c>
      <c r="H14" s="54" t="n"/>
    </row>
    <row r="15">
      <c r="B15" s="51" t="inlineStr">
        <is>
          <t>RQ. 13</t>
        </is>
      </c>
      <c r="C15" s="52" t="inlineStr">
        <is>
          <t>Supports multiple backups in a day.</t>
        </is>
      </c>
      <c r="D15" s="52" t="inlineStr">
        <is>
          <t>Improved RPO</t>
        </is>
      </c>
      <c r="E15" s="3" t="inlineStr">
        <is>
          <t>Optional</t>
        </is>
      </c>
      <c r="F15" s="53" t="inlineStr">
        <is>
          <t>Functional Capabilities</t>
        </is>
      </c>
      <c r="G15" s="2" t="n">
        <v>1</v>
      </c>
      <c r="H15" s="54" t="n"/>
    </row>
    <row r="16" ht="25.5" customHeight="1">
      <c r="B16" s="51" t="inlineStr">
        <is>
          <t>RQ. 14</t>
        </is>
      </c>
      <c r="C16" s="52" t="inlineStr">
        <is>
          <t>Supports immutable backup configuration.</t>
        </is>
      </c>
      <c r="D16" s="52" t="inlineStr">
        <is>
          <t>Data Integrity- prevent tampering or deletion of backup data, enhancing protection against ransomware.</t>
        </is>
      </c>
      <c r="E16" s="3" t="inlineStr">
        <is>
          <t>Non-Functional</t>
        </is>
      </c>
      <c r="F16" s="53" t="inlineStr">
        <is>
          <t>Regulatory Compliance</t>
        </is>
      </c>
      <c r="G16" s="2" t="n">
        <v>3</v>
      </c>
      <c r="H16" s="54" t="n"/>
    </row>
    <row r="17">
      <c r="B17" s="51" t="inlineStr">
        <is>
          <t>RQ. 15</t>
        </is>
      </c>
      <c r="C17" s="52" t="inlineStr">
        <is>
          <t>Tighter Integration with Microsoft SaaS services</t>
        </is>
      </c>
      <c r="D17" s="52" t="inlineStr">
        <is>
          <t>Ease of Integration and support to native functionality</t>
        </is>
      </c>
      <c r="E17" s="3" t="inlineStr">
        <is>
          <t>Functional</t>
        </is>
      </c>
      <c r="F17" s="53" t="inlineStr">
        <is>
          <t>Functional Capabilities</t>
        </is>
      </c>
      <c r="G17" s="2" t="n">
        <v>3</v>
      </c>
      <c r="H17" s="54" t="n"/>
    </row>
    <row r="18">
      <c r="B18" s="51" t="inlineStr">
        <is>
          <t>RQ. 16</t>
        </is>
      </c>
      <c r="C18" s="52" t="inlineStr">
        <is>
          <t>Self service restoration portal for end users</t>
        </is>
      </c>
      <c r="D18" s="52" t="inlineStr">
        <is>
          <t>Ease of managability</t>
        </is>
      </c>
      <c r="E18" s="3" t="inlineStr">
        <is>
          <t>Non-Functional</t>
        </is>
      </c>
      <c r="F18" s="53" t="inlineStr">
        <is>
          <t>Operations</t>
        </is>
      </c>
      <c r="G18" s="2" t="n">
        <v>2</v>
      </c>
      <c r="H18" s="54" t="n"/>
    </row>
    <row r="19">
      <c r="B19" s="51" t="inlineStr">
        <is>
          <t>RQ. 17</t>
        </is>
      </c>
      <c r="C19" s="52" t="inlineStr">
        <is>
          <t>Support backup of Retention and Litigation Hold Items</t>
        </is>
      </c>
      <c r="D19" s="52" t="inlineStr">
        <is>
          <t>Backup of data in the hold library</t>
        </is>
      </c>
      <c r="E19" s="3" t="inlineStr">
        <is>
          <t>Functional</t>
        </is>
      </c>
      <c r="F19" s="53" t="inlineStr">
        <is>
          <t>Functional Capabilities</t>
        </is>
      </c>
      <c r="G19" s="2" t="n">
        <v>3</v>
      </c>
      <c r="H19" s="54" t="n"/>
    </row>
    <row r="20">
      <c r="B20" s="51" t="inlineStr">
        <is>
          <t>RQ. 18</t>
        </is>
      </c>
      <c r="C20" s="52" t="inlineStr">
        <is>
          <t xml:space="preserve">Backup of data in the Microsoft Archive storage </t>
        </is>
      </c>
      <c r="D20" s="52" t="inlineStr">
        <is>
          <t>Capability to backup archived data</t>
        </is>
      </c>
      <c r="E20" s="3" t="inlineStr">
        <is>
          <t>Functional</t>
        </is>
      </c>
      <c r="F20" s="53" t="inlineStr">
        <is>
          <t>Functional Capabilities</t>
        </is>
      </c>
      <c r="G20" s="2" t="n">
        <v>3</v>
      </c>
      <c r="H20" s="54" t="inlineStr">
        <is>
          <t>AIA already has data archived in MS;</t>
        </is>
      </c>
    </row>
    <row r="21">
      <c r="B21" s="51" t="inlineStr">
        <is>
          <t>RQ. 19</t>
        </is>
      </c>
      <c r="C21" s="52" t="inlineStr">
        <is>
          <t>Support 256-bit encryption</t>
        </is>
      </c>
      <c r="D21" s="52" t="inlineStr">
        <is>
          <t>Support encryption at rest and transit</t>
        </is>
      </c>
      <c r="E21" s="3" t="inlineStr">
        <is>
          <t>Non-Functional</t>
        </is>
      </c>
      <c r="F21" s="53" t="inlineStr">
        <is>
          <t>Information Security</t>
        </is>
      </c>
      <c r="G21" s="2" t="n">
        <v>2</v>
      </c>
      <c r="H21" s="54" t="n"/>
    </row>
    <row r="22">
      <c r="B22" s="51" t="inlineStr">
        <is>
          <t>RQ. 20</t>
        </is>
      </c>
      <c r="C22" s="52" t="inlineStr">
        <is>
          <t>Support MFA</t>
        </is>
      </c>
      <c r="D22" s="52" t="inlineStr">
        <is>
          <t>Two Factor Authentication</t>
        </is>
      </c>
      <c r="E22" s="3" t="inlineStr">
        <is>
          <t>Non-Functional</t>
        </is>
      </c>
      <c r="F22" s="53" t="inlineStr">
        <is>
          <t>Information Security</t>
        </is>
      </c>
      <c r="G22" s="2" t="n">
        <v>2</v>
      </c>
      <c r="H22" s="54" t="n"/>
    </row>
    <row r="23">
      <c r="B23" s="51" t="inlineStr">
        <is>
          <t>RQ. 21</t>
        </is>
      </c>
      <c r="C23" s="52" t="inlineStr">
        <is>
          <t>Unlimited Storage</t>
        </is>
      </c>
      <c r="D23" s="52" t="inlineStr">
        <is>
          <t>Keep the data backup of unlicensed users once backup</t>
        </is>
      </c>
      <c r="E23" s="3" t="inlineStr">
        <is>
          <t>Functional</t>
        </is>
      </c>
      <c r="F23" s="53" t="inlineStr">
        <is>
          <t>Cost &amp; Contract</t>
        </is>
      </c>
      <c r="G23" s="2" t="n">
        <v>2</v>
      </c>
      <c r="H23" s="54" t="n"/>
    </row>
    <row r="24" ht="25.5" customHeight="1">
      <c r="B24" s="51" t="inlineStr">
        <is>
          <t>RQ. 22</t>
        </is>
      </c>
      <c r="C24" s="52" t="inlineStr">
        <is>
          <t>Dynamic Disaster Recovery</t>
        </is>
      </c>
      <c r="D24" s="52" t="inlineStr">
        <is>
          <t>Features lightning-fast bulk restore, advanced search, and compare capabilities for rapid recovery at scale.</t>
        </is>
      </c>
      <c r="E24" s="3" t="inlineStr">
        <is>
          <t>Functional</t>
        </is>
      </c>
      <c r="F24" s="53" t="inlineStr">
        <is>
          <t>Functional Capabilities</t>
        </is>
      </c>
      <c r="G24" s="2" t="n">
        <v>3</v>
      </c>
      <c r="H24" s="54" t="n"/>
    </row>
    <row r="25" ht="25.5" customHeight="1">
      <c r="B25" s="51" t="inlineStr">
        <is>
          <t>RQ. 23</t>
        </is>
      </c>
      <c r="C25" s="52" t="inlineStr">
        <is>
          <t>Monitoring and Reporting</t>
        </is>
      </c>
      <c r="D25" s="52" t="inlineStr">
        <is>
          <t xml:space="preserve">Reports to monitor backup status, performance and compliance </t>
        </is>
      </c>
      <c r="E25" s="3" t="inlineStr">
        <is>
          <t>Non-Functional</t>
        </is>
      </c>
      <c r="F25" s="53" t="inlineStr">
        <is>
          <t>Log, Monitor &amp; Alerts</t>
        </is>
      </c>
      <c r="G25" s="2" t="n">
        <v>3</v>
      </c>
      <c r="H25" s="54" t="n"/>
    </row>
    <row r="26">
      <c r="B26" s="51" t="inlineStr">
        <is>
          <t>RQ. 24</t>
        </is>
      </c>
      <c r="C26" s="52" t="inlineStr">
        <is>
          <t>Logging</t>
        </is>
      </c>
      <c r="D26" s="52" t="inlineStr">
        <is>
          <t>Audit and other logs for troubleshooting</t>
        </is>
      </c>
      <c r="E26" s="3" t="inlineStr">
        <is>
          <t>Non-Functional</t>
        </is>
      </c>
      <c r="F26" s="53" t="inlineStr">
        <is>
          <t>Log, Monitor &amp; Alerts</t>
        </is>
      </c>
      <c r="G26" s="2" t="n">
        <v>3</v>
      </c>
      <c r="H26" s="54" t="n"/>
    </row>
    <row r="27" ht="25.5" customHeight="1">
      <c r="B27" s="51" t="inlineStr">
        <is>
          <t>RQ. 25</t>
        </is>
      </c>
      <c r="C27" s="52" t="inlineStr">
        <is>
          <t>Multi-Tenant Support</t>
        </is>
      </c>
      <c r="D27" s="52" t="inlineStr">
        <is>
          <t>Capable of backing up multiple Entra ID tenants within a single deployment.</t>
        </is>
      </c>
      <c r="E27" s="3" t="inlineStr">
        <is>
          <t>Functional</t>
        </is>
      </c>
      <c r="F27" s="53" t="inlineStr">
        <is>
          <t>Integration</t>
        </is>
      </c>
      <c r="G27" s="2" t="n">
        <v>2</v>
      </c>
      <c r="H27" s="54" t="n"/>
    </row>
    <row r="28">
      <c r="B28" s="51" t="inlineStr">
        <is>
          <t>RQ. 26</t>
        </is>
      </c>
      <c r="C28" s="52" t="inlineStr">
        <is>
          <t>Disaster Recovey across Regions</t>
        </is>
      </c>
      <c r="D28" s="52" t="inlineStr">
        <is>
          <t>Geo replicated data copy</t>
        </is>
      </c>
      <c r="E28" s="3" t="inlineStr">
        <is>
          <t>Non-Functional</t>
        </is>
      </c>
      <c r="F28" s="53" t="inlineStr">
        <is>
          <t>Resillience</t>
        </is>
      </c>
      <c r="G28" s="2" t="n">
        <v>3</v>
      </c>
      <c r="H28" s="54" t="n"/>
    </row>
    <row r="29" ht="25.5" customHeight="1">
      <c r="B29" s="51" t="inlineStr">
        <is>
          <t>RQ. 27</t>
        </is>
      </c>
      <c r="C29" s="52" t="inlineStr">
        <is>
          <t>Support of Local data residency</t>
        </is>
      </c>
      <c r="D29" s="52" t="inlineStr">
        <is>
          <t>Support data residency for Business units such as KR, TW, AU, CN</t>
        </is>
      </c>
      <c r="E29" s="3" t="inlineStr">
        <is>
          <t>Non-Functional</t>
        </is>
      </c>
      <c r="F29" s="53" t="inlineStr">
        <is>
          <t>Regulatory Compliance</t>
        </is>
      </c>
      <c r="G29" s="2" t="n">
        <v>3</v>
      </c>
      <c r="H29" s="54" t="n"/>
    </row>
    <row r="30">
      <c r="B30" s="51" t="inlineStr">
        <is>
          <t>RQ. 28</t>
        </is>
      </c>
      <c r="C30" s="52" t="inlineStr">
        <is>
          <t>Operational support</t>
        </is>
      </c>
      <c r="D30" s="52" t="inlineStr">
        <is>
          <t>SLA and Support location and Language</t>
        </is>
      </c>
      <c r="E30" s="3" t="inlineStr">
        <is>
          <t>Non-Functional</t>
        </is>
      </c>
      <c r="F30" s="53" t="inlineStr">
        <is>
          <t>Delivery &amp; Transition</t>
        </is>
      </c>
      <c r="G30" s="2" t="n">
        <v>3</v>
      </c>
      <c r="H30" s="54" t="n"/>
    </row>
    <row r="31">
      <c r="B31" s="51" t="inlineStr">
        <is>
          <t>RQ. 29</t>
        </is>
      </c>
      <c r="C31" s="52" t="inlineStr">
        <is>
          <t>Backup and restore of PowerBI</t>
        </is>
      </c>
      <c r="D31" s="52" t="inlineStr">
        <is>
          <t>Not part of core requirements; good to have.</t>
        </is>
      </c>
      <c r="E31" s="3" t="inlineStr">
        <is>
          <t>Functional</t>
        </is>
      </c>
      <c r="F31" s="53" t="inlineStr">
        <is>
          <t>Functional Capabilities</t>
        </is>
      </c>
      <c r="G31" s="2" t="n">
        <v>1</v>
      </c>
      <c r="H31" s="54" t="n"/>
    </row>
    <row r="32">
      <c r="B32" s="51" t="inlineStr">
        <is>
          <t>RQ. 30</t>
        </is>
      </c>
      <c r="C32" s="52" t="inlineStr">
        <is>
          <t>Backup and restore of MS Dynamics SaaS</t>
        </is>
      </c>
      <c r="D32" s="52" t="inlineStr">
        <is>
          <t>Not part of core requirements; good to have.</t>
        </is>
      </c>
      <c r="E32" s="3" t="inlineStr">
        <is>
          <t>Functional</t>
        </is>
      </c>
      <c r="F32" s="53" t="inlineStr">
        <is>
          <t>Functional Capabilities</t>
        </is>
      </c>
      <c r="G32" s="2" t="n">
        <v>1</v>
      </c>
      <c r="H32" s="54" t="n"/>
    </row>
    <row r="33">
      <c r="B33" s="51" t="inlineStr">
        <is>
          <t>RQ. 31</t>
        </is>
      </c>
      <c r="C33" s="52" t="inlineStr">
        <is>
          <t>Retention still enabled for inactive users (left company)</t>
        </is>
      </c>
      <c r="D33" s="52" t="inlineStr">
        <is>
          <t>Active retention for inactive/resigned users.</t>
        </is>
      </c>
      <c r="E33" s="3" t="inlineStr">
        <is>
          <t>Non-Functional</t>
        </is>
      </c>
      <c r="F33" s="53" t="inlineStr">
        <is>
          <t>Regulatory Compliance</t>
        </is>
      </c>
      <c r="G33" s="2" t="n">
        <v>3</v>
      </c>
      <c r="H33" s="54" t="n"/>
    </row>
    <row r="34">
      <c r="B34" s="51" t="inlineStr">
        <is>
          <t>RQ. 32</t>
        </is>
      </c>
      <c r="C34" s="52" t="n"/>
      <c r="D34" s="52" t="n"/>
      <c r="E34" s="3" t="n"/>
      <c r="F34" s="53" t="n"/>
      <c r="G34" s="2" t="n"/>
      <c r="H34" s="54" t="n"/>
    </row>
    <row r="35">
      <c r="B35" s="51" t="inlineStr">
        <is>
          <t>RQ. 33</t>
        </is>
      </c>
      <c r="C35" s="52" t="n"/>
      <c r="D35" s="52" t="n"/>
      <c r="E35" s="3" t="n"/>
      <c r="F35" s="53" t="n"/>
      <c r="G35" s="2" t="n"/>
      <c r="H35" s="55" t="n"/>
    </row>
    <row r="36">
      <c r="B36" s="51" t="inlineStr">
        <is>
          <t>RQ. 34</t>
        </is>
      </c>
      <c r="C36" s="52" t="n"/>
      <c r="D36" s="52" t="n"/>
      <c r="E36" s="3" t="n"/>
      <c r="F36" s="53" t="n"/>
      <c r="G36" s="2" t="n"/>
      <c r="H36" s="55" t="n"/>
    </row>
    <row r="37">
      <c r="B37" s="51" t="inlineStr">
        <is>
          <t>RQ. 35</t>
        </is>
      </c>
      <c r="C37" s="52" t="n"/>
      <c r="D37" s="52" t="n"/>
      <c r="E37" s="3" t="n"/>
      <c r="F37" s="53" t="n"/>
      <c r="G37" s="2" t="n"/>
      <c r="H37" s="55" t="n"/>
    </row>
    <row r="38">
      <c r="B38" s="51" t="inlineStr">
        <is>
          <t>RQ. 36</t>
        </is>
      </c>
      <c r="C38" s="52" t="n"/>
      <c r="D38" s="52" t="n"/>
      <c r="E38" s="3" t="n"/>
      <c r="F38" s="53" t="n"/>
      <c r="G38" s="2" t="n"/>
      <c r="H38" s="55" t="n"/>
    </row>
    <row r="39">
      <c r="B39" s="51" t="inlineStr">
        <is>
          <t>RQ. 37</t>
        </is>
      </c>
      <c r="C39" s="52" t="n"/>
      <c r="D39" s="52" t="n"/>
      <c r="E39" s="3" t="n"/>
      <c r="F39" s="53" t="n"/>
      <c r="G39" s="2" t="n"/>
      <c r="H39" s="55" t="n"/>
    </row>
    <row r="40">
      <c r="B40" s="51" t="inlineStr">
        <is>
          <t>RQ. 38</t>
        </is>
      </c>
      <c r="C40" s="52" t="n"/>
      <c r="D40" s="52" t="n"/>
      <c r="E40" s="3" t="n"/>
      <c r="F40" s="53" t="n"/>
      <c r="G40" s="2" t="n"/>
      <c r="H40" s="55" t="n"/>
    </row>
    <row r="41">
      <c r="B41" s="51" t="inlineStr">
        <is>
          <t>RQ. 39</t>
        </is>
      </c>
      <c r="C41" s="52" t="n"/>
      <c r="D41" s="52" t="n"/>
      <c r="E41" s="3" t="n"/>
      <c r="F41" s="53" t="n"/>
      <c r="G41" s="2" t="n"/>
      <c r="H41" s="55" t="n"/>
    </row>
    <row r="42">
      <c r="B42" s="51" t="inlineStr">
        <is>
          <t>RQ. 40</t>
        </is>
      </c>
      <c r="C42" s="52" t="n"/>
      <c r="D42" s="52" t="n"/>
      <c r="E42" s="3" t="n"/>
      <c r="F42" s="53" t="n"/>
      <c r="G42" s="2" t="n"/>
      <c r="H42" s="55" t="n"/>
    </row>
    <row r="43">
      <c r="B43" s="51" t="inlineStr">
        <is>
          <t>RQ. 41</t>
        </is>
      </c>
      <c r="C43" s="52" t="n"/>
      <c r="D43" s="52" t="n"/>
      <c r="E43" s="3" t="n"/>
      <c r="F43" s="53" t="n"/>
      <c r="G43" s="2" t="n"/>
      <c r="H43" s="55" t="n"/>
    </row>
    <row r="44">
      <c r="B44" s="51" t="inlineStr">
        <is>
          <t>RQ. 42</t>
        </is>
      </c>
      <c r="C44" s="52" t="n"/>
      <c r="D44" s="52" t="n"/>
      <c r="E44" s="3" t="n"/>
      <c r="F44" s="53" t="n"/>
      <c r="G44" s="2" t="n"/>
      <c r="H44" s="55" t="n"/>
    </row>
    <row r="45">
      <c r="B45" s="51" t="inlineStr">
        <is>
          <t>RQ. 43</t>
        </is>
      </c>
      <c r="C45" s="52" t="n"/>
      <c r="D45" s="52" t="n"/>
      <c r="E45" s="3" t="n"/>
      <c r="F45" s="53" t="n"/>
      <c r="G45" s="2" t="n"/>
      <c r="H45" s="55" t="n"/>
    </row>
    <row r="46">
      <c r="B46" s="51" t="inlineStr">
        <is>
          <t>RQ. 44</t>
        </is>
      </c>
      <c r="C46" s="52" t="n"/>
      <c r="D46" s="52" t="n"/>
      <c r="E46" s="3" t="n"/>
      <c r="F46" s="53" t="n"/>
      <c r="G46" s="2" t="n"/>
      <c r="H46" s="55" t="n"/>
    </row>
    <row r="47">
      <c r="B47" s="51" t="inlineStr">
        <is>
          <t>RQ. 45</t>
        </is>
      </c>
      <c r="C47" s="52" t="n"/>
      <c r="D47" s="52" t="n"/>
      <c r="E47" s="3" t="n"/>
      <c r="F47" s="53" t="n"/>
      <c r="G47" s="2" t="n"/>
      <c r="H47" s="55" t="n"/>
    </row>
    <row r="48">
      <c r="B48" s="51" t="inlineStr">
        <is>
          <t>RQ. 46</t>
        </is>
      </c>
      <c r="C48" s="52" t="n"/>
      <c r="D48" s="52" t="n"/>
      <c r="E48" s="3" t="n"/>
      <c r="F48" s="53" t="n"/>
      <c r="G48" s="2" t="n"/>
      <c r="H48" s="55" t="n"/>
    </row>
    <row r="49">
      <c r="B49" s="51" t="inlineStr">
        <is>
          <t>RQ. 47</t>
        </is>
      </c>
      <c r="C49" s="52" t="n"/>
      <c r="D49" s="52" t="n"/>
      <c r="E49" s="3" t="n"/>
      <c r="F49" s="53" t="n"/>
      <c r="G49" s="2" t="n"/>
      <c r="H49" s="55" t="n"/>
    </row>
    <row r="50">
      <c r="B50" s="51" t="inlineStr">
        <is>
          <t>RQ. 48</t>
        </is>
      </c>
      <c r="C50" s="52" t="n"/>
      <c r="D50" s="52" t="n"/>
      <c r="E50" s="3" t="n"/>
      <c r="F50" s="53" t="n"/>
      <c r="G50" s="2" t="n"/>
      <c r="H50" s="55" t="n"/>
    </row>
    <row r="51">
      <c r="B51" s="51" t="inlineStr">
        <is>
          <t>RQ. 49</t>
        </is>
      </c>
      <c r="C51" s="52" t="n"/>
      <c r="D51" s="52" t="n"/>
      <c r="E51" s="3" t="n"/>
      <c r="F51" s="53" t="n"/>
      <c r="G51" s="2" t="n"/>
      <c r="H51" s="55" t="n"/>
    </row>
    <row r="52">
      <c r="B52" s="51" t="inlineStr">
        <is>
          <t>RQ. 50</t>
        </is>
      </c>
      <c r="C52" s="52" t="n"/>
      <c r="D52" s="52" t="n"/>
      <c r="E52" s="3" t="n"/>
      <c r="F52" s="53" t="n"/>
      <c r="G52" s="2" t="n"/>
      <c r="H52" s="55" t="n"/>
    </row>
    <row r="53">
      <c r="B53" s="51" t="inlineStr">
        <is>
          <t>RQ. 51</t>
        </is>
      </c>
      <c r="C53" s="52" t="n"/>
      <c r="D53" s="52" t="n"/>
      <c r="E53" s="3" t="n"/>
      <c r="F53" s="53" t="n"/>
      <c r="G53" s="2" t="n"/>
      <c r="H53" s="55" t="n"/>
    </row>
    <row r="54">
      <c r="B54" s="51" t="inlineStr">
        <is>
          <t>RQ. 52</t>
        </is>
      </c>
      <c r="C54" s="52" t="n"/>
      <c r="D54" s="52" t="n"/>
      <c r="E54" s="3" t="n"/>
      <c r="F54" s="53" t="n"/>
      <c r="G54" s="2" t="n"/>
      <c r="H54" s="55" t="n"/>
    </row>
    <row r="55">
      <c r="B55" s="51" t="inlineStr">
        <is>
          <t>RQ. 53</t>
        </is>
      </c>
      <c r="C55" s="52" t="n"/>
      <c r="D55" s="52" t="n"/>
      <c r="E55" s="3" t="n"/>
      <c r="F55" s="53" t="n"/>
      <c r="G55" s="2" t="n"/>
      <c r="H55" s="55" t="n"/>
    </row>
    <row r="56">
      <c r="B56" s="51" t="inlineStr">
        <is>
          <t>RQ. 54</t>
        </is>
      </c>
      <c r="C56" s="52" t="n"/>
      <c r="D56" s="52" t="n"/>
      <c r="E56" s="3" t="n"/>
      <c r="F56" s="53" t="n"/>
      <c r="G56" s="2" t="n"/>
      <c r="H56" s="55" t="n"/>
    </row>
    <row r="57">
      <c r="B57" s="51" t="inlineStr">
        <is>
          <t>RQ. 55</t>
        </is>
      </c>
      <c r="C57" s="52" t="n"/>
      <c r="D57" s="52" t="n"/>
      <c r="E57" s="3" t="n"/>
      <c r="F57" s="53" t="n"/>
      <c r="G57" s="2" t="n"/>
      <c r="H57" s="55" t="n"/>
    </row>
    <row r="58">
      <c r="B58" s="51" t="inlineStr">
        <is>
          <t>RQ. 56</t>
        </is>
      </c>
      <c r="C58" s="52" t="n"/>
      <c r="D58" s="52" t="n"/>
      <c r="E58" s="3" t="n"/>
      <c r="F58" s="53" t="n"/>
      <c r="G58" s="2" t="n"/>
      <c r="H58" s="55" t="n"/>
    </row>
    <row r="59">
      <c r="B59" s="51" t="inlineStr">
        <is>
          <t>RQ. 57</t>
        </is>
      </c>
      <c r="C59" s="52" t="n"/>
      <c r="D59" s="52" t="n"/>
      <c r="E59" s="3" t="n"/>
      <c r="F59" s="53" t="n"/>
      <c r="G59" s="2" t="n"/>
      <c r="H59" s="55" t="n"/>
    </row>
    <row r="60">
      <c r="B60" s="51" t="inlineStr">
        <is>
          <t>RQ. 58</t>
        </is>
      </c>
      <c r="C60" s="52" t="n"/>
      <c r="D60" s="52" t="n"/>
      <c r="E60" s="3" t="n"/>
      <c r="F60" s="53" t="n"/>
      <c r="G60" s="2" t="n"/>
      <c r="H60" s="55" t="n"/>
    </row>
    <row r="61">
      <c r="B61" s="51" t="inlineStr">
        <is>
          <t>RQ. 59</t>
        </is>
      </c>
      <c r="C61" s="52" t="n"/>
      <c r="D61" s="52" t="n"/>
      <c r="E61" s="3" t="n"/>
      <c r="F61" s="53" t="n"/>
      <c r="G61" s="2" t="n"/>
      <c r="H61" s="55" t="n"/>
    </row>
    <row r="62">
      <c r="B62" s="51" t="inlineStr">
        <is>
          <t>RQ. 60</t>
        </is>
      </c>
      <c r="C62" s="52" t="n"/>
      <c r="D62" s="52" t="n"/>
      <c r="E62" s="3" t="n"/>
      <c r="F62" s="53" t="n"/>
      <c r="G62" s="2" t="n"/>
      <c r="H62" s="55" t="n"/>
    </row>
    <row r="63">
      <c r="B63" s="51" t="inlineStr">
        <is>
          <t>RQ. 61</t>
        </is>
      </c>
      <c r="C63" s="52" t="n"/>
      <c r="D63" s="52" t="n"/>
      <c r="E63" s="3" t="n"/>
      <c r="F63" s="53" t="n"/>
      <c r="G63" s="2" t="n"/>
      <c r="H63" s="55" t="n"/>
    </row>
    <row r="64">
      <c r="B64" s="51" t="inlineStr">
        <is>
          <t>RQ. 62</t>
        </is>
      </c>
      <c r="C64" s="52" t="n"/>
      <c r="D64" s="52" t="n"/>
      <c r="E64" s="3" t="n"/>
      <c r="F64" s="53" t="n"/>
      <c r="G64" s="2" t="n"/>
      <c r="H64" s="55" t="n"/>
    </row>
    <row r="65">
      <c r="B65" s="51" t="inlineStr">
        <is>
          <t>RQ. 63</t>
        </is>
      </c>
      <c r="C65" s="52" t="n"/>
      <c r="D65" s="52" t="n"/>
      <c r="E65" s="3" t="n"/>
      <c r="F65" s="53" t="n"/>
      <c r="G65" s="2" t="n"/>
      <c r="H65" s="55" t="n"/>
    </row>
    <row r="66">
      <c r="B66" s="51" t="inlineStr">
        <is>
          <t>RQ. 64</t>
        </is>
      </c>
      <c r="C66" s="52" t="n"/>
      <c r="D66" s="52" t="n"/>
      <c r="E66" s="3" t="n"/>
      <c r="F66" s="53" t="n"/>
      <c r="G66" s="2" t="n"/>
      <c r="H66" s="55" t="n"/>
    </row>
    <row r="67">
      <c r="B67" s="51" t="inlineStr">
        <is>
          <t>RQ. 65</t>
        </is>
      </c>
      <c r="C67" s="52" t="n"/>
      <c r="D67" s="52" t="n"/>
      <c r="E67" s="3" t="n"/>
      <c r="F67" s="53" t="n"/>
      <c r="G67" s="2" t="n"/>
      <c r="H67" s="55" t="n"/>
    </row>
    <row r="68">
      <c r="B68" s="51" t="inlineStr">
        <is>
          <t>RQ. 66</t>
        </is>
      </c>
      <c r="C68" s="52" t="n"/>
      <c r="D68" s="52" t="n"/>
      <c r="E68" s="3" t="n"/>
      <c r="F68" s="53" t="n"/>
      <c r="G68" s="2" t="n"/>
      <c r="H68" s="55" t="n"/>
    </row>
    <row r="69">
      <c r="B69" s="51" t="inlineStr">
        <is>
          <t>RQ. 67</t>
        </is>
      </c>
      <c r="C69" s="52" t="n"/>
      <c r="D69" s="52" t="n"/>
      <c r="E69" s="3" t="n"/>
      <c r="F69" s="53" t="n"/>
      <c r="G69" s="2" t="n"/>
      <c r="H69" s="55" t="n"/>
    </row>
    <row r="70">
      <c r="B70" s="51" t="inlineStr">
        <is>
          <t>RQ. 68</t>
        </is>
      </c>
      <c r="C70" s="52" t="n"/>
      <c r="D70" s="52" t="n"/>
      <c r="E70" s="3" t="n"/>
      <c r="F70" s="53" t="n"/>
      <c r="G70" s="2" t="n"/>
      <c r="H70" s="55" t="n"/>
    </row>
    <row r="71">
      <c r="B71" s="51" t="inlineStr">
        <is>
          <t>RQ. 69</t>
        </is>
      </c>
      <c r="C71" s="52" t="n"/>
      <c r="D71" s="52" t="n"/>
      <c r="E71" s="3" t="n"/>
      <c r="F71" s="53" t="n"/>
      <c r="G71" s="2" t="n"/>
      <c r="H71" s="55" t="n"/>
    </row>
    <row r="72">
      <c r="B72" s="51" t="inlineStr">
        <is>
          <t>RQ. 70</t>
        </is>
      </c>
      <c r="C72" s="52" t="n"/>
      <c r="D72" s="52" t="n"/>
      <c r="E72" s="3" t="n"/>
      <c r="F72" s="53" t="n"/>
      <c r="G72" s="2" t="n"/>
      <c r="H72" s="55" t="n"/>
    </row>
    <row r="73">
      <c r="B73" s="51" t="inlineStr">
        <is>
          <t>RQ. 71</t>
        </is>
      </c>
      <c r="C73" s="52" t="n"/>
      <c r="D73" s="52" t="n"/>
      <c r="E73" s="3" t="n"/>
      <c r="F73" s="53" t="n"/>
      <c r="G73" s="2" t="n"/>
      <c r="H73" s="55" t="n"/>
    </row>
    <row r="74">
      <c r="B74" s="51" t="inlineStr">
        <is>
          <t>RQ. 72</t>
        </is>
      </c>
      <c r="C74" s="52" t="n"/>
      <c r="D74" s="52" t="n"/>
      <c r="E74" s="3" t="n"/>
      <c r="F74" s="53" t="n"/>
      <c r="G74" s="2" t="n"/>
      <c r="H74" s="55" t="n"/>
    </row>
    <row r="75">
      <c r="B75" s="51" t="inlineStr">
        <is>
          <t>RQ. 73</t>
        </is>
      </c>
      <c r="C75" s="52" t="n"/>
      <c r="D75" s="52" t="n"/>
      <c r="E75" s="3" t="n"/>
      <c r="F75" s="53" t="n"/>
      <c r="G75" s="2" t="n"/>
      <c r="H75" s="55" t="n"/>
    </row>
    <row r="76">
      <c r="B76" s="51" t="inlineStr">
        <is>
          <t>RQ. 74</t>
        </is>
      </c>
      <c r="C76" s="52" t="n"/>
      <c r="D76" s="52" t="n"/>
      <c r="E76" s="3" t="n"/>
      <c r="F76" s="53" t="n"/>
      <c r="G76" s="2" t="n"/>
      <c r="H76" s="55" t="n"/>
    </row>
    <row r="77">
      <c r="B77" s="51" t="inlineStr">
        <is>
          <t>RQ. 75</t>
        </is>
      </c>
      <c r="C77" s="52" t="n"/>
      <c r="D77" s="52" t="n"/>
      <c r="E77" s="3" t="n"/>
      <c r="F77" s="53" t="n"/>
      <c r="G77" s="2" t="n"/>
      <c r="H77" s="55" t="n"/>
    </row>
    <row r="78">
      <c r="B78" s="51" t="inlineStr">
        <is>
          <t>RQ. 76</t>
        </is>
      </c>
      <c r="C78" s="52" t="n"/>
      <c r="D78" s="52" t="n"/>
      <c r="E78" s="3" t="n"/>
      <c r="F78" s="53" t="n"/>
      <c r="G78" s="2" t="n"/>
      <c r="H78" s="55" t="n"/>
    </row>
    <row r="79">
      <c r="B79" s="51" t="inlineStr">
        <is>
          <t>RQ. 77</t>
        </is>
      </c>
      <c r="C79" s="52" t="n"/>
      <c r="D79" s="52" t="n"/>
      <c r="E79" s="3" t="n"/>
      <c r="F79" s="53" t="n"/>
      <c r="G79" s="2" t="n"/>
      <c r="H79" s="55" t="n"/>
    </row>
    <row r="80">
      <c r="B80" s="51" t="inlineStr">
        <is>
          <t>RQ. 78</t>
        </is>
      </c>
      <c r="C80" s="52" t="n"/>
      <c r="D80" s="52" t="n"/>
      <c r="E80" s="3" t="n"/>
      <c r="F80" s="53" t="n"/>
      <c r="G80" s="2" t="n"/>
      <c r="H80" s="55" t="n"/>
    </row>
    <row r="81">
      <c r="B81" s="51" t="inlineStr">
        <is>
          <t>RQ. 79</t>
        </is>
      </c>
      <c r="C81" s="52" t="n"/>
      <c r="D81" s="52" t="n"/>
      <c r="E81" s="3" t="n"/>
      <c r="F81" s="53" t="n"/>
      <c r="G81" s="2" t="n"/>
      <c r="H81" s="55" t="n"/>
    </row>
    <row r="82">
      <c r="B82" s="51" t="inlineStr">
        <is>
          <t>RQ. 80</t>
        </is>
      </c>
      <c r="C82" s="52" t="n"/>
      <c r="D82" s="52" t="n"/>
      <c r="E82" s="3" t="n"/>
      <c r="F82" s="53" t="n"/>
      <c r="G82" s="2" t="n"/>
      <c r="H82" s="55" t="n"/>
    </row>
    <row r="83">
      <c r="B83" s="51" t="inlineStr">
        <is>
          <t>RQ. 81</t>
        </is>
      </c>
      <c r="C83" s="52" t="n"/>
      <c r="D83" s="52" t="n"/>
      <c r="E83" s="3" t="n"/>
      <c r="F83" s="53" t="n"/>
      <c r="G83" s="2" t="n"/>
      <c r="H83" s="55" t="n"/>
    </row>
    <row r="84">
      <c r="B84" s="51" t="inlineStr">
        <is>
          <t>RQ. 82</t>
        </is>
      </c>
      <c r="C84" s="52" t="n"/>
      <c r="D84" s="52" t="n"/>
      <c r="E84" s="3" t="n"/>
      <c r="F84" s="53" t="n"/>
      <c r="G84" s="2" t="n"/>
      <c r="H84" s="55" t="n"/>
    </row>
    <row r="85">
      <c r="B85" s="51" t="inlineStr">
        <is>
          <t>RQ. 83</t>
        </is>
      </c>
      <c r="C85" s="52" t="n"/>
      <c r="D85" s="52" t="n"/>
      <c r="E85" s="3" t="n"/>
      <c r="F85" s="53" t="n"/>
      <c r="G85" s="2" t="n"/>
      <c r="H85" s="55" t="n"/>
    </row>
    <row r="86">
      <c r="B86" s="51" t="inlineStr">
        <is>
          <t>RQ. 84</t>
        </is>
      </c>
      <c r="C86" s="52" t="n"/>
      <c r="D86" s="52" t="n"/>
      <c r="E86" s="3" t="n"/>
      <c r="F86" s="53" t="n"/>
      <c r="G86" s="2" t="n"/>
      <c r="H86" s="55" t="n"/>
    </row>
    <row r="87">
      <c r="B87" s="51" t="inlineStr">
        <is>
          <t>RQ. 85</t>
        </is>
      </c>
      <c r="C87" s="52" t="n"/>
      <c r="D87" s="52" t="n"/>
      <c r="E87" s="3" t="n"/>
      <c r="F87" s="53" t="n"/>
      <c r="G87" s="2" t="n"/>
      <c r="H87" s="55" t="n"/>
    </row>
    <row r="88">
      <c r="B88" s="51" t="inlineStr">
        <is>
          <t>RQ. 86</t>
        </is>
      </c>
      <c r="C88" s="52" t="n"/>
      <c r="D88" s="52" t="n"/>
      <c r="E88" s="3" t="n"/>
      <c r="F88" s="53" t="n"/>
      <c r="G88" s="2" t="n"/>
      <c r="H88" s="55" t="n"/>
    </row>
    <row r="89">
      <c r="B89" s="51" t="inlineStr">
        <is>
          <t>RQ. 87</t>
        </is>
      </c>
      <c r="C89" s="52" t="n"/>
      <c r="D89" s="52" t="n"/>
      <c r="E89" s="3" t="n"/>
      <c r="F89" s="53" t="n"/>
      <c r="G89" s="2" t="n"/>
      <c r="H89" s="55" t="n"/>
    </row>
    <row r="90">
      <c r="B90" s="51" t="inlineStr">
        <is>
          <t>RQ. 88</t>
        </is>
      </c>
      <c r="C90" s="52" t="n"/>
      <c r="D90" s="52" t="n"/>
      <c r="E90" s="3" t="n"/>
      <c r="F90" s="53" t="n"/>
      <c r="G90" s="2" t="n"/>
      <c r="H90" s="55" t="n"/>
    </row>
    <row r="91">
      <c r="B91" s="51" t="inlineStr">
        <is>
          <t>RQ. 89</t>
        </is>
      </c>
      <c r="C91" s="52" t="n"/>
      <c r="D91" s="52" t="n"/>
      <c r="E91" s="3" t="n"/>
      <c r="F91" s="53" t="n"/>
      <c r="G91" s="2" t="n"/>
      <c r="H91" s="55" t="n"/>
    </row>
    <row r="92">
      <c r="B92" s="51" t="inlineStr">
        <is>
          <t>RQ. 90</t>
        </is>
      </c>
      <c r="C92" s="52" t="n"/>
      <c r="D92" s="52" t="n"/>
      <c r="E92" s="3" t="n"/>
      <c r="F92" s="53" t="n"/>
      <c r="G92" s="2" t="n"/>
      <c r="H92" s="55" t="n"/>
    </row>
    <row r="93">
      <c r="B93" s="51" t="inlineStr">
        <is>
          <t>RQ. 91</t>
        </is>
      </c>
      <c r="C93" s="52" t="n"/>
      <c r="D93" s="52" t="n"/>
      <c r="E93" s="3" t="n"/>
      <c r="F93" s="53" t="n"/>
      <c r="G93" s="2" t="n"/>
      <c r="H93" s="55" t="n"/>
    </row>
    <row r="94">
      <c r="B94" s="51" t="inlineStr">
        <is>
          <t>RQ. 92</t>
        </is>
      </c>
      <c r="C94" s="52" t="n"/>
      <c r="D94" s="52" t="n"/>
      <c r="E94" s="3" t="n"/>
      <c r="F94" s="53" t="n"/>
      <c r="G94" s="2" t="n"/>
      <c r="H94" s="55" t="n"/>
    </row>
    <row r="95">
      <c r="B95" s="51" t="inlineStr">
        <is>
          <t>RQ. 93</t>
        </is>
      </c>
      <c r="C95" s="52" t="n"/>
      <c r="D95" s="52" t="n"/>
      <c r="E95" s="3" t="n"/>
      <c r="F95" s="53" t="n"/>
      <c r="G95" s="2" t="n"/>
      <c r="H95" s="55" t="n"/>
    </row>
    <row r="96">
      <c r="B96" s="51" t="inlineStr">
        <is>
          <t>RQ. 94</t>
        </is>
      </c>
      <c r="C96" s="52" t="n"/>
      <c r="D96" s="52" t="n"/>
      <c r="E96" s="3" t="n"/>
      <c r="F96" s="53" t="n"/>
      <c r="G96" s="2" t="n"/>
      <c r="H96" s="55" t="n"/>
    </row>
    <row r="97">
      <c r="B97" s="51" t="inlineStr">
        <is>
          <t>RQ. 95</t>
        </is>
      </c>
      <c r="C97" s="52" t="n"/>
      <c r="D97" s="52" t="n"/>
      <c r="E97" s="3" t="n"/>
      <c r="F97" s="53" t="n"/>
      <c r="G97" s="2" t="n"/>
      <c r="H97" s="55" t="n"/>
    </row>
    <row r="98">
      <c r="B98" s="51" t="inlineStr">
        <is>
          <t>RQ. 96</t>
        </is>
      </c>
      <c r="C98" s="52" t="n"/>
      <c r="D98" s="52" t="n"/>
      <c r="E98" s="3" t="n"/>
      <c r="F98" s="53" t="n"/>
      <c r="G98" s="2" t="n"/>
      <c r="H98" s="55" t="n"/>
    </row>
    <row r="99">
      <c r="B99" s="51" t="inlineStr">
        <is>
          <t>RQ. 97</t>
        </is>
      </c>
      <c r="C99" s="52" t="n"/>
      <c r="D99" s="52" t="n"/>
      <c r="E99" s="3" t="n"/>
      <c r="F99" s="53" t="n"/>
      <c r="G99" s="2" t="n"/>
      <c r="H99" s="55" t="n"/>
    </row>
    <row r="100">
      <c r="B100" s="51" t="inlineStr">
        <is>
          <t>RQ. 98</t>
        </is>
      </c>
      <c r="C100" s="52" t="n"/>
      <c r="D100" s="52" t="n"/>
      <c r="E100" s="3" t="n"/>
      <c r="F100" s="53" t="n"/>
      <c r="G100" s="2" t="n"/>
      <c r="H100" s="55" t="n"/>
    </row>
    <row r="101">
      <c r="B101" s="51" t="inlineStr">
        <is>
          <t>RQ. 99</t>
        </is>
      </c>
      <c r="C101" s="52" t="n"/>
      <c r="D101" s="52" t="n"/>
      <c r="E101" s="3" t="n"/>
      <c r="F101" s="53" t="n"/>
      <c r="G101" s="2" t="n"/>
      <c r="H101" s="55" t="n"/>
    </row>
    <row r="102">
      <c r="B102" s="51" t="inlineStr">
        <is>
          <t>RQ. 100</t>
        </is>
      </c>
      <c r="C102" s="52" t="n"/>
      <c r="D102" s="52" t="n"/>
      <c r="E102" s="3" t="n"/>
      <c r="F102" s="53" t="n"/>
      <c r="G102" s="2" t="n"/>
      <c r="H102" s="55" t="n"/>
    </row>
    <row r="103">
      <c r="B103" s="51" t="inlineStr">
        <is>
          <t>RQ. 101</t>
        </is>
      </c>
      <c r="C103" s="52" t="n"/>
      <c r="D103" s="52" t="n"/>
      <c r="E103" s="3" t="n"/>
      <c r="F103" s="53" t="n"/>
      <c r="G103" s="2" t="n"/>
      <c r="H103" s="55" t="n"/>
    </row>
    <row r="104">
      <c r="B104" s="51" t="inlineStr">
        <is>
          <t>RQ. 102</t>
        </is>
      </c>
      <c r="C104" s="52" t="n"/>
      <c r="D104" s="52" t="n"/>
      <c r="E104" s="3" t="n"/>
      <c r="F104" s="53" t="n"/>
      <c r="G104" s="2" t="n"/>
      <c r="H104" s="55" t="n"/>
    </row>
    <row r="105">
      <c r="B105" s="51" t="inlineStr">
        <is>
          <t>RQ. 103</t>
        </is>
      </c>
      <c r="C105" s="52" t="n"/>
      <c r="D105" s="52" t="n"/>
      <c r="E105" s="3" t="n"/>
      <c r="F105" s="53" t="n"/>
      <c r="G105" s="2" t="n"/>
      <c r="H105" s="55" t="n"/>
    </row>
    <row r="106">
      <c r="B106" s="51" t="inlineStr">
        <is>
          <t>RQ. 104</t>
        </is>
      </c>
      <c r="C106" s="52" t="n"/>
      <c r="D106" s="52" t="n"/>
      <c r="E106" s="3" t="n"/>
      <c r="F106" s="53" t="n"/>
      <c r="G106" s="2" t="n"/>
      <c r="H106" s="55" t="n"/>
    </row>
    <row r="107">
      <c r="B107" s="51" t="inlineStr">
        <is>
          <t>RQ. 105</t>
        </is>
      </c>
      <c r="C107" s="52" t="n"/>
      <c r="D107" s="52" t="n"/>
      <c r="E107" s="3" t="n"/>
      <c r="F107" s="53" t="n"/>
      <c r="G107" s="2" t="n"/>
      <c r="H107" s="55" t="n"/>
    </row>
    <row r="108">
      <c r="B108" s="51" t="inlineStr">
        <is>
          <t>RQ. 106</t>
        </is>
      </c>
      <c r="C108" s="52" t="n"/>
      <c r="D108" s="52" t="n"/>
      <c r="E108" s="3" t="n"/>
      <c r="F108" s="53" t="n"/>
      <c r="G108" s="2" t="n"/>
      <c r="H108" s="55" t="n"/>
    </row>
    <row r="109">
      <c r="B109" s="51" t="inlineStr">
        <is>
          <t>RQ. 107</t>
        </is>
      </c>
      <c r="C109" s="52" t="n"/>
      <c r="D109" s="52" t="n"/>
      <c r="E109" s="3" t="n"/>
      <c r="F109" s="53" t="n"/>
      <c r="G109" s="2" t="n"/>
      <c r="H109" s="55" t="n"/>
    </row>
    <row r="110">
      <c r="B110" s="51" t="inlineStr">
        <is>
          <t>RQ. 108</t>
        </is>
      </c>
      <c r="C110" s="52" t="n"/>
      <c r="D110" s="52" t="n"/>
      <c r="E110" s="3" t="n"/>
      <c r="F110" s="53" t="n"/>
      <c r="G110" s="2" t="n"/>
      <c r="H110" s="55" t="n"/>
    </row>
    <row r="111">
      <c r="B111" s="51" t="inlineStr">
        <is>
          <t>RQ. 109</t>
        </is>
      </c>
      <c r="C111" s="52" t="n"/>
      <c r="D111" s="52" t="n"/>
      <c r="E111" s="3" t="n"/>
      <c r="F111" s="53" t="n"/>
      <c r="G111" s="2" t="n"/>
      <c r="H111" s="55" t="n"/>
    </row>
    <row r="112">
      <c r="B112" s="51" t="inlineStr">
        <is>
          <t>RQ. 110</t>
        </is>
      </c>
      <c r="C112" s="52" t="n"/>
      <c r="D112" s="52" t="n"/>
      <c r="E112" s="3" t="n"/>
      <c r="F112" s="53" t="n"/>
      <c r="G112" s="2" t="n"/>
      <c r="H112" s="55" t="n"/>
    </row>
    <row r="113">
      <c r="B113" s="51" t="inlineStr">
        <is>
          <t>RQ. 111</t>
        </is>
      </c>
      <c r="C113" s="52" t="n"/>
      <c r="D113" s="52" t="n"/>
      <c r="E113" s="3" t="n"/>
      <c r="F113" s="53" t="n"/>
      <c r="G113" s="2" t="n"/>
      <c r="H113" s="55" t="n"/>
    </row>
    <row r="114">
      <c r="B114" s="51" t="inlineStr">
        <is>
          <t>RQ. 112</t>
        </is>
      </c>
      <c r="C114" s="52" t="n"/>
      <c r="D114" s="52" t="n"/>
      <c r="E114" s="3" t="n"/>
      <c r="F114" s="53" t="n"/>
      <c r="G114" s="2" t="n"/>
      <c r="H114" s="55" t="n"/>
    </row>
    <row r="115">
      <c r="B115" s="51" t="inlineStr">
        <is>
          <t>RQ. 113</t>
        </is>
      </c>
      <c r="C115" s="52" t="n"/>
      <c r="D115" s="52" t="n"/>
      <c r="E115" s="3" t="n"/>
      <c r="F115" s="53" t="n"/>
      <c r="G115" s="2" t="n"/>
      <c r="H115" s="55" t="n"/>
    </row>
    <row r="116">
      <c r="B116" s="51" t="inlineStr">
        <is>
          <t>RQ. 114</t>
        </is>
      </c>
      <c r="C116" s="52" t="n"/>
      <c r="D116" s="52" t="n"/>
      <c r="E116" s="3" t="n"/>
      <c r="F116" s="53" t="n"/>
      <c r="G116" s="2" t="n"/>
      <c r="H116" s="55" t="n"/>
    </row>
    <row r="117">
      <c r="B117" s="51" t="inlineStr">
        <is>
          <t>RQ. 115</t>
        </is>
      </c>
      <c r="C117" s="52" t="n"/>
      <c r="D117" s="52" t="n"/>
      <c r="E117" s="3" t="n"/>
      <c r="F117" s="53" t="n"/>
      <c r="G117" s="2" t="n"/>
      <c r="H117" s="55" t="n"/>
    </row>
    <row r="118">
      <c r="B118" s="51" t="inlineStr">
        <is>
          <t>RQ. 116</t>
        </is>
      </c>
      <c r="C118" s="52" t="n"/>
      <c r="D118" s="52" t="n"/>
      <c r="E118" s="3" t="n"/>
      <c r="F118" s="53" t="n"/>
      <c r="G118" s="2" t="n"/>
      <c r="H118" s="55" t="n"/>
    </row>
    <row r="119">
      <c r="B119" s="51" t="inlineStr">
        <is>
          <t>RQ. 117</t>
        </is>
      </c>
      <c r="C119" s="52" t="n"/>
      <c r="D119" s="52" t="n"/>
      <c r="E119" s="3" t="n"/>
      <c r="F119" s="53" t="n"/>
      <c r="G119" s="2" t="n"/>
      <c r="H119" s="55" t="n"/>
    </row>
    <row r="120">
      <c r="B120" s="51" t="inlineStr">
        <is>
          <t>RQ. 118</t>
        </is>
      </c>
      <c r="C120" s="52" t="n"/>
      <c r="D120" s="52" t="n"/>
      <c r="E120" s="3" t="n"/>
      <c r="F120" s="53" t="n"/>
      <c r="G120" s="2" t="n"/>
      <c r="H120" s="55" t="n"/>
    </row>
    <row r="121">
      <c r="B121" s="51" t="inlineStr">
        <is>
          <t>RQ. 119</t>
        </is>
      </c>
      <c r="C121" s="52" t="n"/>
      <c r="D121" s="52" t="n"/>
      <c r="E121" s="3" t="n"/>
      <c r="F121" s="53" t="n"/>
      <c r="G121" s="2" t="n"/>
      <c r="H121" s="55" t="n"/>
    </row>
    <row r="122">
      <c r="B122" s="51" t="inlineStr">
        <is>
          <t>RQ. 120</t>
        </is>
      </c>
      <c r="C122" s="52" t="n"/>
      <c r="D122" s="52" t="n"/>
      <c r="E122" s="3" t="n"/>
      <c r="F122" s="53" t="n"/>
      <c r="G122" s="2" t="n"/>
      <c r="H122" s="55" t="n"/>
    </row>
    <row r="123">
      <c r="B123" s="51" t="inlineStr">
        <is>
          <t>RQ. 121</t>
        </is>
      </c>
      <c r="C123" s="52" t="n"/>
      <c r="D123" s="52" t="n"/>
      <c r="E123" s="3" t="n"/>
      <c r="F123" s="53" t="n"/>
      <c r="G123" s="2" t="n"/>
      <c r="H123" s="55" t="n"/>
    </row>
    <row r="124">
      <c r="B124" s="51" t="inlineStr">
        <is>
          <t>RQ. 122</t>
        </is>
      </c>
      <c r="C124" s="52" t="n"/>
      <c r="D124" s="52" t="n"/>
      <c r="E124" s="3" t="n"/>
      <c r="F124" s="53" t="n"/>
      <c r="G124" s="2" t="n"/>
      <c r="H124" s="55" t="n"/>
    </row>
    <row r="125">
      <c r="B125" s="51" t="inlineStr">
        <is>
          <t>RQ. 123</t>
        </is>
      </c>
      <c r="C125" s="52" t="n"/>
      <c r="D125" s="52" t="n"/>
      <c r="E125" s="3" t="n"/>
      <c r="F125" s="53" t="n"/>
      <c r="G125" s="2" t="n"/>
      <c r="H125" s="55" t="n"/>
    </row>
    <row r="126">
      <c r="B126" s="51" t="inlineStr">
        <is>
          <t>RQ. 124</t>
        </is>
      </c>
      <c r="C126" s="52" t="n"/>
      <c r="D126" s="52" t="n"/>
      <c r="E126" s="3" t="n"/>
      <c r="F126" s="53" t="n"/>
      <c r="G126" s="2" t="n"/>
      <c r="H126" s="55" t="n"/>
    </row>
    <row r="127">
      <c r="B127" s="51" t="inlineStr">
        <is>
          <t>RQ. 125</t>
        </is>
      </c>
      <c r="C127" s="52" t="n"/>
      <c r="D127" s="52" t="n"/>
      <c r="E127" s="3" t="n"/>
      <c r="F127" s="53" t="n"/>
      <c r="G127" s="2" t="n"/>
      <c r="H127" s="55" t="n"/>
    </row>
    <row r="128">
      <c r="B128" s="51" t="inlineStr">
        <is>
          <t>RQ. 126</t>
        </is>
      </c>
      <c r="C128" s="52" t="n"/>
      <c r="D128" s="52" t="n"/>
      <c r="E128" s="3" t="n"/>
      <c r="F128" s="53" t="n"/>
      <c r="G128" s="2" t="n"/>
      <c r="H128" s="55" t="n"/>
    </row>
    <row r="129">
      <c r="B129" s="51" t="inlineStr">
        <is>
          <t>RQ. 127</t>
        </is>
      </c>
      <c r="C129" s="52" t="n"/>
      <c r="D129" s="52" t="n"/>
      <c r="E129" s="3" t="n"/>
      <c r="F129" s="53" t="n"/>
      <c r="G129" s="2" t="n"/>
      <c r="H129" s="55" t="n"/>
    </row>
    <row r="130">
      <c r="B130" s="51" t="inlineStr">
        <is>
          <t>RQ. 128</t>
        </is>
      </c>
      <c r="C130" s="52" t="n"/>
      <c r="D130" s="52" t="n"/>
      <c r="E130" s="3" t="n"/>
      <c r="F130" s="53" t="n"/>
      <c r="G130" s="2" t="n"/>
      <c r="H130" s="55" t="n"/>
    </row>
    <row r="131">
      <c r="B131" s="51" t="inlineStr">
        <is>
          <t>RQ. 129</t>
        </is>
      </c>
      <c r="C131" s="52" t="n"/>
      <c r="D131" s="52" t="n"/>
      <c r="E131" s="3" t="n"/>
      <c r="F131" s="53" t="n"/>
      <c r="G131" s="2" t="n"/>
      <c r="H131" s="55" t="n"/>
    </row>
    <row r="132">
      <c r="B132" s="51" t="inlineStr">
        <is>
          <t>RQ. 130</t>
        </is>
      </c>
      <c r="C132" s="52" t="n"/>
      <c r="D132" s="52" t="n"/>
      <c r="E132" s="3" t="n"/>
      <c r="F132" s="53" t="n"/>
      <c r="G132" s="2" t="n"/>
      <c r="H132" s="55" t="n"/>
    </row>
    <row r="133">
      <c r="B133" s="51" t="inlineStr">
        <is>
          <t>RQ. 131</t>
        </is>
      </c>
      <c r="C133" s="52" t="n"/>
      <c r="D133" s="52" t="n"/>
      <c r="E133" s="3" t="n"/>
      <c r="F133" s="53" t="n"/>
      <c r="G133" s="2" t="n"/>
      <c r="H133" s="55" t="n"/>
    </row>
    <row r="134">
      <c r="B134" s="51" t="inlineStr">
        <is>
          <t>RQ. 132</t>
        </is>
      </c>
      <c r="C134" s="52" t="n"/>
      <c r="D134" s="52" t="n"/>
      <c r="E134" s="3" t="n"/>
      <c r="F134" s="53" t="n"/>
      <c r="G134" s="2" t="n"/>
      <c r="H134" s="55" t="n"/>
    </row>
    <row r="135">
      <c r="B135" s="51" t="inlineStr">
        <is>
          <t>RQ. 133</t>
        </is>
      </c>
      <c r="C135" s="52" t="n"/>
      <c r="D135" s="52" t="n"/>
      <c r="E135" s="3" t="n"/>
      <c r="F135" s="53" t="n"/>
      <c r="G135" s="2" t="n"/>
      <c r="H135" s="55" t="n"/>
    </row>
    <row r="136">
      <c r="B136" s="51" t="inlineStr">
        <is>
          <t>RQ. 134</t>
        </is>
      </c>
      <c r="C136" s="52" t="n"/>
      <c r="D136" s="52" t="n"/>
      <c r="E136" s="3" t="n"/>
      <c r="F136" s="53" t="n"/>
      <c r="G136" s="2" t="n"/>
      <c r="H136" s="55" t="n"/>
    </row>
    <row r="137">
      <c r="B137" s="51" t="inlineStr">
        <is>
          <t>RQ. 135</t>
        </is>
      </c>
      <c r="C137" s="52" t="n"/>
      <c r="D137" s="52" t="n"/>
      <c r="E137" s="3" t="n"/>
      <c r="F137" s="53" t="n"/>
      <c r="G137" s="2" t="n"/>
      <c r="H137" s="55" t="n"/>
    </row>
    <row r="138">
      <c r="B138" s="51" t="inlineStr">
        <is>
          <t>RQ. 136</t>
        </is>
      </c>
      <c r="C138" s="52" t="n"/>
      <c r="D138" s="52" t="n"/>
      <c r="E138" s="3" t="n"/>
      <c r="F138" s="53" t="n"/>
      <c r="G138" s="2" t="n"/>
      <c r="H138" s="55" t="n"/>
    </row>
    <row r="139">
      <c r="B139" s="51" t="inlineStr">
        <is>
          <t>RQ. 137</t>
        </is>
      </c>
      <c r="C139" s="52" t="n"/>
      <c r="D139" s="52" t="n"/>
      <c r="E139" s="3" t="n"/>
      <c r="F139" s="53" t="n"/>
      <c r="G139" s="2" t="n"/>
      <c r="H139" s="55" t="n"/>
    </row>
    <row r="140">
      <c r="B140" s="51" t="inlineStr">
        <is>
          <t>RQ. 138</t>
        </is>
      </c>
      <c r="C140" s="52" t="n"/>
      <c r="D140" s="52" t="n"/>
      <c r="E140" s="3" t="n"/>
      <c r="F140" s="53" t="n"/>
      <c r="G140" s="2" t="n"/>
      <c r="H140" s="55" t="n"/>
    </row>
    <row r="141">
      <c r="B141" s="51" t="inlineStr">
        <is>
          <t>RQ. 139</t>
        </is>
      </c>
      <c r="C141" s="52" t="n"/>
      <c r="D141" s="52" t="n"/>
      <c r="E141" s="3" t="n"/>
      <c r="F141" s="53" t="n"/>
      <c r="G141" s="2" t="n"/>
      <c r="H141" s="55" t="n"/>
    </row>
    <row r="142">
      <c r="B142" s="51" t="inlineStr">
        <is>
          <t>RQ. 140</t>
        </is>
      </c>
      <c r="C142" s="52" t="n"/>
      <c r="D142" s="52" t="n"/>
      <c r="E142" s="3" t="n"/>
      <c r="F142" s="53" t="n"/>
      <c r="G142" s="2" t="n"/>
      <c r="H142" s="55" t="n"/>
    </row>
    <row r="143">
      <c r="B143" s="51" t="inlineStr">
        <is>
          <t>RQ. 141</t>
        </is>
      </c>
      <c r="C143" s="52" t="n"/>
      <c r="D143" s="52" t="n"/>
      <c r="E143" s="3" t="n"/>
      <c r="F143" s="53" t="n"/>
      <c r="G143" s="2" t="n"/>
      <c r="H143" s="55" t="n"/>
    </row>
    <row r="144">
      <c r="B144" s="51" t="inlineStr">
        <is>
          <t>RQ. 142</t>
        </is>
      </c>
      <c r="C144" s="52" t="n"/>
      <c r="D144" s="52" t="n"/>
      <c r="E144" s="3" t="n"/>
      <c r="F144" s="53" t="n"/>
      <c r="G144" s="2" t="n"/>
      <c r="H144" s="55" t="n"/>
    </row>
    <row r="145">
      <c r="B145" s="51" t="inlineStr">
        <is>
          <t>RQ. 143</t>
        </is>
      </c>
      <c r="C145" s="52" t="n"/>
      <c r="D145" s="52" t="n"/>
      <c r="E145" s="3" t="n"/>
      <c r="F145" s="53" t="n"/>
      <c r="G145" s="2" t="n"/>
      <c r="H145" s="55" t="n"/>
    </row>
    <row r="146">
      <c r="B146" s="51" t="inlineStr">
        <is>
          <t>RQ. 144</t>
        </is>
      </c>
      <c r="C146" s="52" t="n"/>
      <c r="D146" s="52" t="n"/>
      <c r="E146" s="3" t="n"/>
      <c r="F146" s="53" t="n"/>
      <c r="G146" s="2" t="n"/>
      <c r="H146" s="55" t="n"/>
    </row>
    <row r="147">
      <c r="B147" s="51" t="inlineStr">
        <is>
          <t>RQ. 145</t>
        </is>
      </c>
      <c r="C147" s="52" t="n"/>
      <c r="D147" s="52" t="n"/>
      <c r="E147" s="3" t="n"/>
      <c r="F147" s="53" t="n"/>
      <c r="G147" s="2" t="n"/>
      <c r="H147" s="55" t="n"/>
    </row>
    <row r="148">
      <c r="B148" s="51" t="inlineStr">
        <is>
          <t>RQ. 146</t>
        </is>
      </c>
      <c r="C148" s="52" t="n"/>
      <c r="D148" s="52" t="n"/>
      <c r="E148" s="3" t="n"/>
      <c r="F148" s="53" t="n"/>
      <c r="G148" s="2" t="n"/>
      <c r="H148" s="55" t="n"/>
    </row>
    <row r="149">
      <c r="B149" s="51" t="inlineStr">
        <is>
          <t>RQ. 147</t>
        </is>
      </c>
      <c r="C149" s="52" t="n"/>
      <c r="D149" s="52" t="n"/>
      <c r="E149" s="3" t="n"/>
      <c r="F149" s="53" t="n"/>
      <c r="G149" s="2" t="n"/>
      <c r="H149" s="55" t="n"/>
    </row>
    <row r="150">
      <c r="B150" s="51" t="inlineStr">
        <is>
          <t>RQ. 148</t>
        </is>
      </c>
      <c r="C150" s="52" t="n"/>
      <c r="D150" s="52" t="n"/>
      <c r="E150" s="3" t="n"/>
      <c r="F150" s="53" t="n"/>
      <c r="G150" s="2" t="n"/>
      <c r="H150" s="55" t="n"/>
    </row>
    <row r="151">
      <c r="B151" s="51" t="inlineStr">
        <is>
          <t>RQ. 149</t>
        </is>
      </c>
      <c r="C151" s="52" t="n"/>
      <c r="D151" s="52" t="n"/>
      <c r="E151" s="3" t="n"/>
      <c r="F151" s="53" t="n"/>
      <c r="G151" s="2" t="n"/>
      <c r="H151" s="55" t="n"/>
    </row>
    <row r="152">
      <c r="B152" s="51" t="inlineStr">
        <is>
          <t>RQ. 150</t>
        </is>
      </c>
      <c r="C152" s="52" t="n"/>
      <c r="D152" s="52" t="n"/>
      <c r="E152" s="3" t="n"/>
      <c r="F152" s="53" t="n"/>
      <c r="G152" s="2" t="n"/>
      <c r="H152" s="55" t="n"/>
    </row>
    <row r="153">
      <c r="B153" s="51" t="inlineStr">
        <is>
          <t>RQ. 151</t>
        </is>
      </c>
      <c r="C153" s="52" t="n"/>
      <c r="D153" s="52" t="n"/>
      <c r="E153" s="3" t="n"/>
      <c r="F153" s="53" t="n"/>
      <c r="G153" s="2" t="n"/>
      <c r="H153" s="55" t="n"/>
    </row>
    <row r="154">
      <c r="B154" s="51" t="inlineStr">
        <is>
          <t>RQ. 152</t>
        </is>
      </c>
      <c r="C154" s="52" t="n"/>
      <c r="D154" s="52" t="n"/>
      <c r="E154" s="3" t="n"/>
      <c r="F154" s="53" t="n"/>
      <c r="G154" s="2" t="n"/>
      <c r="H154" s="55" t="n"/>
    </row>
    <row r="155">
      <c r="B155" s="51" t="inlineStr">
        <is>
          <t>RQ. 153</t>
        </is>
      </c>
      <c r="C155" s="52" t="n"/>
      <c r="D155" s="52" t="n"/>
      <c r="E155" s="3" t="n"/>
      <c r="F155" s="53" t="n"/>
      <c r="G155" s="2" t="n"/>
      <c r="H155" s="55" t="n"/>
    </row>
    <row r="156">
      <c r="B156" s="51" t="inlineStr">
        <is>
          <t>RQ. 154</t>
        </is>
      </c>
      <c r="C156" s="52" t="n"/>
      <c r="D156" s="52" t="n"/>
      <c r="E156" s="3" t="n"/>
      <c r="F156" s="53" t="n"/>
      <c r="G156" s="2" t="n"/>
      <c r="H156" s="55" t="n"/>
    </row>
    <row r="157">
      <c r="B157" s="51" t="inlineStr">
        <is>
          <t>RQ. 155</t>
        </is>
      </c>
      <c r="C157" s="52" t="n"/>
      <c r="D157" s="52" t="n"/>
      <c r="E157" s="3" t="n"/>
      <c r="F157" s="53" t="n"/>
      <c r="G157" s="2" t="n"/>
      <c r="H157" s="55" t="n"/>
    </row>
    <row r="158">
      <c r="B158" s="51" t="inlineStr">
        <is>
          <t>RQ. 156</t>
        </is>
      </c>
      <c r="C158" s="52" t="n"/>
      <c r="D158" s="52" t="n"/>
      <c r="E158" s="3" t="n"/>
      <c r="F158" s="53" t="n"/>
      <c r="G158" s="2" t="n"/>
      <c r="H158" s="55" t="n"/>
    </row>
    <row r="159">
      <c r="B159" s="51" t="inlineStr">
        <is>
          <t>RQ. 157</t>
        </is>
      </c>
      <c r="C159" s="52" t="n"/>
      <c r="D159" s="52" t="n"/>
      <c r="E159" s="3" t="n"/>
      <c r="F159" s="53" t="n"/>
      <c r="G159" s="2" t="n"/>
      <c r="H159" s="55" t="n"/>
    </row>
    <row r="160">
      <c r="B160" s="51" t="inlineStr">
        <is>
          <t>RQ. 158</t>
        </is>
      </c>
      <c r="C160" s="52" t="n"/>
      <c r="D160" s="52" t="n"/>
      <c r="E160" s="3" t="n"/>
      <c r="F160" s="53" t="n"/>
      <c r="G160" s="2" t="n"/>
      <c r="H160" s="55" t="n"/>
    </row>
    <row r="161">
      <c r="B161" s="51" t="inlineStr">
        <is>
          <t>RQ. 159</t>
        </is>
      </c>
      <c r="C161" s="52" t="n"/>
      <c r="D161" s="52" t="n"/>
      <c r="E161" s="3" t="n"/>
      <c r="F161" s="53" t="n"/>
      <c r="G161" s="2" t="n"/>
      <c r="H161" s="55" t="n"/>
    </row>
    <row r="162">
      <c r="B162" s="51" t="inlineStr">
        <is>
          <t>RQ. 160</t>
        </is>
      </c>
      <c r="C162" s="52" t="n"/>
      <c r="D162" s="52" t="n"/>
      <c r="E162" s="3" t="n"/>
      <c r="F162" s="53" t="n"/>
      <c r="G162" s="2" t="n"/>
      <c r="H162" s="55" t="n"/>
    </row>
    <row r="163">
      <c r="B163" s="51" t="inlineStr">
        <is>
          <t>RQ. 161</t>
        </is>
      </c>
      <c r="C163" s="52" t="n"/>
      <c r="D163" s="52" t="n"/>
      <c r="E163" s="3" t="n"/>
      <c r="F163" s="53" t="n"/>
      <c r="G163" s="2" t="n"/>
      <c r="H163" s="55" t="n"/>
    </row>
    <row r="164">
      <c r="B164" s="51" t="inlineStr">
        <is>
          <t>RQ. 162</t>
        </is>
      </c>
      <c r="C164" s="52" t="n"/>
      <c r="D164" s="52" t="n"/>
      <c r="E164" s="3" t="n"/>
      <c r="F164" s="53" t="n"/>
      <c r="G164" s="2" t="n"/>
      <c r="H164" s="55" t="n"/>
    </row>
    <row r="165">
      <c r="B165" s="51" t="inlineStr">
        <is>
          <t>RQ. 163</t>
        </is>
      </c>
      <c r="C165" s="52" t="n"/>
      <c r="D165" s="52" t="n"/>
      <c r="E165" s="3" t="n"/>
      <c r="F165" s="53" t="n"/>
      <c r="G165" s="2" t="n"/>
      <c r="H165" s="55" t="n"/>
    </row>
    <row r="166">
      <c r="B166" s="51" t="inlineStr">
        <is>
          <t>RQ. 164</t>
        </is>
      </c>
      <c r="C166" s="52" t="n"/>
      <c r="D166" s="52" t="n"/>
      <c r="E166" s="3" t="n"/>
      <c r="F166" s="53" t="n"/>
      <c r="G166" s="2" t="n"/>
      <c r="H166" s="55" t="n"/>
    </row>
    <row r="167">
      <c r="B167" s="51" t="inlineStr">
        <is>
          <t>RQ. 165</t>
        </is>
      </c>
      <c r="C167" s="52" t="n"/>
      <c r="D167" s="52" t="n"/>
      <c r="E167" s="3" t="n"/>
      <c r="F167" s="53" t="n"/>
      <c r="G167" s="2" t="n"/>
      <c r="H167" s="55" t="n"/>
    </row>
    <row r="168">
      <c r="B168" s="51" t="inlineStr">
        <is>
          <t>RQ. 166</t>
        </is>
      </c>
      <c r="C168" s="52" t="n"/>
      <c r="D168" s="52" t="n"/>
      <c r="E168" s="3" t="n"/>
      <c r="F168" s="53" t="n"/>
      <c r="G168" s="2" t="n"/>
      <c r="H168" s="55" t="n"/>
    </row>
    <row r="169">
      <c r="B169" s="51" t="inlineStr">
        <is>
          <t>RQ. 167</t>
        </is>
      </c>
      <c r="C169" s="52" t="n"/>
      <c r="D169" s="52" t="n"/>
      <c r="E169" s="3" t="n"/>
      <c r="F169" s="53" t="n"/>
      <c r="G169" s="2" t="n"/>
      <c r="H169" s="55" t="n"/>
    </row>
    <row r="170">
      <c r="B170" s="51" t="inlineStr">
        <is>
          <t>RQ. 168</t>
        </is>
      </c>
      <c r="C170" s="52" t="n"/>
      <c r="D170" s="52" t="n"/>
      <c r="E170" s="3" t="n"/>
      <c r="F170" s="53" t="n"/>
      <c r="G170" s="2" t="n"/>
      <c r="H170" s="55" t="n"/>
    </row>
    <row r="171">
      <c r="B171" s="51" t="inlineStr">
        <is>
          <t>RQ. 169</t>
        </is>
      </c>
      <c r="C171" s="52" t="n"/>
      <c r="D171" s="52" t="n"/>
      <c r="E171" s="3" t="n"/>
      <c r="F171" s="53" t="n"/>
      <c r="G171" s="2" t="n"/>
      <c r="H171" s="55" t="n"/>
    </row>
    <row r="172">
      <c r="B172" s="51" t="inlineStr">
        <is>
          <t>RQ. 170</t>
        </is>
      </c>
      <c r="C172" s="52" t="n"/>
      <c r="D172" s="52" t="n"/>
      <c r="E172" s="3" t="n"/>
      <c r="F172" s="53" t="n"/>
      <c r="G172" s="2" t="n"/>
      <c r="H172" s="55" t="n"/>
    </row>
    <row r="173">
      <c r="B173" s="51" t="inlineStr">
        <is>
          <t>RQ. 171</t>
        </is>
      </c>
      <c r="C173" s="52" t="n"/>
      <c r="D173" s="52" t="n"/>
      <c r="E173" s="3" t="n"/>
      <c r="F173" s="53" t="n"/>
      <c r="G173" s="2" t="n"/>
      <c r="H173" s="55" t="n"/>
    </row>
    <row r="174">
      <c r="B174" s="51" t="inlineStr">
        <is>
          <t>RQ. 172</t>
        </is>
      </c>
      <c r="C174" s="52" t="n"/>
      <c r="D174" s="52" t="n"/>
      <c r="E174" s="3" t="n"/>
      <c r="F174" s="53" t="n"/>
      <c r="G174" s="2" t="n"/>
      <c r="H174" s="55" t="n"/>
    </row>
    <row r="175">
      <c r="B175" s="51" t="inlineStr">
        <is>
          <t>RQ. 173</t>
        </is>
      </c>
      <c r="C175" s="52" t="n"/>
      <c r="D175" s="52" t="n"/>
      <c r="E175" s="3" t="n"/>
      <c r="F175" s="53" t="n"/>
      <c r="G175" s="2" t="n"/>
      <c r="H175" s="55" t="n"/>
    </row>
    <row r="176">
      <c r="B176" s="51" t="inlineStr">
        <is>
          <t>RQ. 174</t>
        </is>
      </c>
      <c r="C176" s="52" t="n"/>
      <c r="D176" s="52" t="n"/>
      <c r="E176" s="3" t="n"/>
      <c r="F176" s="53" t="n"/>
      <c r="G176" s="2" t="n"/>
      <c r="H176" s="55" t="n"/>
    </row>
    <row r="177">
      <c r="B177" s="51" t="inlineStr">
        <is>
          <t>RQ. 175</t>
        </is>
      </c>
      <c r="C177" s="52" t="n"/>
      <c r="D177" s="52" t="n"/>
      <c r="E177" s="3" t="n"/>
      <c r="F177" s="53" t="n"/>
      <c r="G177" s="2" t="n"/>
      <c r="H177" s="55" t="n"/>
    </row>
    <row r="178">
      <c r="B178" s="51" t="inlineStr">
        <is>
          <t>RQ. 176</t>
        </is>
      </c>
      <c r="C178" s="52" t="n"/>
      <c r="D178" s="52" t="n"/>
      <c r="E178" s="3" t="n"/>
      <c r="F178" s="53" t="n"/>
      <c r="G178" s="2" t="n"/>
      <c r="H178" s="55" t="n"/>
    </row>
    <row r="179">
      <c r="B179" s="51" t="inlineStr">
        <is>
          <t>RQ. 177</t>
        </is>
      </c>
      <c r="C179" s="52" t="n"/>
      <c r="D179" s="52" t="n"/>
      <c r="E179" s="3" t="n"/>
      <c r="F179" s="53" t="n"/>
      <c r="G179" s="2" t="n"/>
      <c r="H179" s="55" t="n"/>
    </row>
    <row r="180">
      <c r="B180" s="51" t="inlineStr">
        <is>
          <t>RQ. 178</t>
        </is>
      </c>
      <c r="C180" s="52" t="n"/>
      <c r="D180" s="52" t="n"/>
      <c r="E180" s="3" t="n"/>
      <c r="F180" s="53" t="n"/>
      <c r="G180" s="2" t="n"/>
      <c r="H180" s="55" t="n"/>
    </row>
    <row r="181">
      <c r="B181" s="51" t="inlineStr">
        <is>
          <t>RQ. 179</t>
        </is>
      </c>
      <c r="C181" s="52" t="n"/>
      <c r="D181" s="52" t="n"/>
      <c r="E181" s="3" t="n"/>
      <c r="F181" s="53" t="n"/>
      <c r="G181" s="2" t="n"/>
      <c r="H181" s="55" t="n"/>
    </row>
    <row r="182">
      <c r="B182" s="51" t="inlineStr">
        <is>
          <t>RQ. 180</t>
        </is>
      </c>
      <c r="C182" s="52" t="n"/>
      <c r="D182" s="52" t="n"/>
      <c r="E182" s="3" t="n"/>
      <c r="F182" s="53" t="n"/>
      <c r="G182" s="2" t="n"/>
      <c r="H182" s="55" t="n"/>
    </row>
    <row r="183">
      <c r="B183" s="51" t="inlineStr">
        <is>
          <t>RQ. 181</t>
        </is>
      </c>
      <c r="C183" s="52" t="n"/>
      <c r="D183" s="52" t="n"/>
      <c r="E183" s="3" t="n"/>
      <c r="F183" s="53" t="n"/>
      <c r="G183" s="2" t="n"/>
      <c r="H183" s="55" t="n"/>
    </row>
    <row r="184">
      <c r="B184" s="51" t="inlineStr">
        <is>
          <t>RQ. 182</t>
        </is>
      </c>
      <c r="C184" s="52" t="n"/>
      <c r="D184" s="52" t="n"/>
      <c r="E184" s="3" t="n"/>
      <c r="F184" s="53" t="n"/>
      <c r="G184" s="2" t="n"/>
      <c r="H184" s="55" t="n"/>
    </row>
    <row r="185">
      <c r="B185" s="51" t="inlineStr">
        <is>
          <t>RQ. 183</t>
        </is>
      </c>
      <c r="C185" s="52" t="n"/>
      <c r="D185" s="52" t="n"/>
      <c r="E185" s="3" t="n"/>
      <c r="F185" s="53" t="n"/>
      <c r="G185" s="2" t="n"/>
      <c r="H185" s="55" t="n"/>
    </row>
    <row r="186">
      <c r="B186" s="51" t="inlineStr">
        <is>
          <t>RQ. 184</t>
        </is>
      </c>
      <c r="C186" s="52" t="n"/>
      <c r="D186" s="52" t="n"/>
      <c r="E186" s="3" t="n"/>
      <c r="F186" s="53" t="n"/>
      <c r="G186" s="2" t="n"/>
      <c r="H186" s="55" t="n"/>
    </row>
    <row r="187">
      <c r="B187" s="51" t="inlineStr">
        <is>
          <t>RQ. 185</t>
        </is>
      </c>
      <c r="C187" s="52" t="n"/>
      <c r="D187" s="52" t="n"/>
      <c r="E187" s="3" t="n"/>
      <c r="F187" s="53" t="n"/>
      <c r="G187" s="2" t="n"/>
      <c r="H187" s="55" t="n"/>
    </row>
    <row r="188">
      <c r="B188" s="51" t="inlineStr">
        <is>
          <t>RQ. 186</t>
        </is>
      </c>
      <c r="C188" s="52" t="n"/>
      <c r="D188" s="52" t="n"/>
      <c r="E188" s="3" t="n"/>
      <c r="F188" s="53" t="n"/>
      <c r="G188" s="2" t="n"/>
      <c r="H188" s="55" t="n"/>
    </row>
    <row r="189">
      <c r="B189" s="51" t="inlineStr">
        <is>
          <t>RQ. 187</t>
        </is>
      </c>
      <c r="C189" s="52" t="n"/>
      <c r="D189" s="52" t="n"/>
      <c r="E189" s="3" t="n"/>
      <c r="F189" s="53" t="n"/>
      <c r="G189" s="2" t="n"/>
      <c r="H189" s="55" t="n"/>
    </row>
    <row r="190">
      <c r="B190" s="51" t="inlineStr">
        <is>
          <t>RQ. 188</t>
        </is>
      </c>
      <c r="C190" s="56" t="n"/>
      <c r="D190" s="56" t="n"/>
      <c r="E190" s="4" t="n"/>
      <c r="F190" s="57" t="n"/>
      <c r="G190" s="5" t="n"/>
      <c r="H190" s="55" t="n"/>
    </row>
    <row r="191">
      <c r="B191" s="51" t="inlineStr">
        <is>
          <t>RQ. 189</t>
        </is>
      </c>
      <c r="H191" s="55" t="n"/>
    </row>
    <row r="192">
      <c r="B192" s="51" t="inlineStr">
        <is>
          <t>RQ. 190</t>
        </is>
      </c>
      <c r="H192" s="55" t="n"/>
    </row>
    <row r="193">
      <c r="B193" s="51" t="inlineStr">
        <is>
          <t>RQ. 191</t>
        </is>
      </c>
      <c r="H193" s="55" t="n"/>
    </row>
    <row r="194">
      <c r="B194" s="51" t="inlineStr">
        <is>
          <t>RQ. 192</t>
        </is>
      </c>
      <c r="H194" s="55" t="n"/>
    </row>
    <row r="195">
      <c r="B195" s="51" t="inlineStr">
        <is>
          <t>RQ. 193</t>
        </is>
      </c>
      <c r="H195" s="55" t="n"/>
    </row>
    <row r="196">
      <c r="B196" s="51" t="inlineStr">
        <is>
          <t>RQ. 194</t>
        </is>
      </c>
      <c r="H196" s="58" t="n"/>
    </row>
    <row r="197">
      <c r="B197" s="51" t="inlineStr">
        <is>
          <t>RQ. 195</t>
        </is>
      </c>
    </row>
    <row r="198">
      <c r="B198" s="51" t="inlineStr">
        <is>
          <t>RQ. 196</t>
        </is>
      </c>
    </row>
    <row r="199">
      <c r="B199" s="51" t="inlineStr">
        <is>
          <t>RQ. 197</t>
        </is>
      </c>
    </row>
    <row r="200">
      <c r="B200" s="51" t="inlineStr">
        <is>
          <t>RQ. 198</t>
        </is>
      </c>
    </row>
    <row r="201">
      <c r="B201" s="51" t="inlineStr">
        <is>
          <t>RQ. 199</t>
        </is>
      </c>
    </row>
    <row r="202">
      <c r="B202" s="59" t="inlineStr">
        <is>
          <t>RQ. 200</t>
        </is>
      </c>
    </row>
  </sheetData>
  <pageMargins left="0.7" right="0.7" top="0.75" bottom="0.75" header="0.3" footer="0.3"/>
  <pageSetup orientation="portrait"/>
  <headerFooter>
    <oddHeader/>
    <oddFooter>&amp;L&amp;"Aptos"&amp;8 &amp;K317100_x000d_# [AIA –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51"/>
  <sheetViews>
    <sheetView tabSelected="1" workbookViewId="0">
      <pane ySplit="4" topLeftCell="A30" activePane="bottomLeft" state="frozen"/>
      <selection pane="bottomLeft" activeCell="G35" sqref="G35"/>
    </sheetView>
  </sheetViews>
  <sheetFormatPr baseColWidth="8" defaultRowHeight="15"/>
  <cols>
    <col width="71.7109375" bestFit="1" customWidth="1" min="1" max="1"/>
    <col width="38" customWidth="1" min="2" max="2"/>
    <col width="9" customWidth="1" min="3" max="3"/>
    <col width="15" customWidth="1" min="4" max="4"/>
    <col width="11" customWidth="1" min="5" max="5"/>
    <col width="38.140625" customWidth="1" min="6" max="6"/>
  </cols>
  <sheetData>
    <row r="1" ht="18.75" customHeight="1">
      <c r="A1" s="93" t="inlineStr">
        <is>
          <t>Microsoft 365 Backup - Requirements Assessment Summary</t>
        </is>
      </c>
    </row>
    <row r="2" ht="45" customHeight="1">
      <c r="A2" s="94" t="inlineStr">
        <is>
          <t>Assessment of Microsoft 365 Backup (first-party) against the 31 stated requirements. Scoring: 3 = full capability, 2 = partial, 1 = limited / achieved by an adjacent Microsoft capability, 0 = not supported.</t>
        </is>
      </c>
    </row>
    <row r="4">
      <c r="A4" s="95" t="inlineStr">
        <is>
          <t>RQ #</t>
        </is>
      </c>
      <c r="B4" s="95" t="inlineStr">
        <is>
          <t>Requirement</t>
        </is>
      </c>
      <c r="C4" s="95" t="inlineStr">
        <is>
          <t>Weight</t>
        </is>
      </c>
      <c r="D4" s="95" t="inlineStr">
        <is>
          <t>Compliance</t>
        </is>
      </c>
      <c r="E4" s="95" t="inlineStr">
        <is>
          <t>Score (0-3)</t>
        </is>
      </c>
      <c r="F4" s="95" t="inlineStr">
        <is>
          <t>Assessment / Alternative</t>
        </is>
      </c>
    </row>
    <row r="5" ht="110.1" customHeight="1">
      <c r="A5" t="inlineStr">
        <is>
          <t>RQ. 01</t>
        </is>
      </c>
      <c r="B5" s="96" t="inlineStr">
        <is>
          <t>Backup and restore for Sharepoint data</t>
        </is>
      </c>
      <c r="C5" s="97" t="n">
        <v>3</v>
      </c>
      <c r="D5" s="98" t="inlineStr">
        <is>
          <t>In-Full</t>
        </is>
      </c>
      <c r="E5" s="97" t="n">
        <v>3</v>
      </c>
      <c r="F5" s="96" t="inlineStr">
        <is>
          <t>Fully supported. Site-level backup of all or selected SharePoint sites; restore to same or new URL. Full-site rollback to a prior point in time, plus granular folder/file and file-version restore. RPO: 10-minute restore points for the trailing 2 weeks, then weekly restore points from 2 weeks out to the full 2-year retention period. Note: a small set of legacy site templates is unsupported (Review Center, Policy Center, Tenant admin site, MySite Host, SharePoint Embedded containers).</t>
        </is>
      </c>
    </row>
    <row r="6" ht="110.1" customHeight="1">
      <c r="A6" t="inlineStr">
        <is>
          <t>RQ. 02</t>
        </is>
      </c>
      <c r="B6" s="96" t="inlineStr">
        <is>
          <t>Backup and restore for Onedrive data</t>
        </is>
      </c>
      <c r="C6" s="97" t="n">
        <v>3</v>
      </c>
      <c r="D6" s="98" t="inlineStr">
        <is>
          <t>In-Full</t>
        </is>
      </c>
      <c r="E6" s="97" t="n">
        <v>3</v>
      </c>
      <c r="F6" s="96" t="inlineStr">
        <is>
          <t>Fully supported. Backup granularity = OneDrive account; restore to same or new URL, full-account rollback plus granular file/folder and version restore. Same restore point model as SharePoint - 10-minute restore points for the trailing 2 weeks, then weekly restore points out to the full 2-year retention period.</t>
        </is>
      </c>
    </row>
    <row r="7" ht="110.1" customHeight="1">
      <c r="A7" t="inlineStr">
        <is>
          <t>RQ. 03</t>
        </is>
      </c>
      <c r="B7" s="96" t="inlineStr">
        <is>
          <t>Backup and restore for Exchange Online data</t>
        </is>
      </c>
      <c r="C7" s="97" t="n">
        <v>3</v>
      </c>
      <c r="D7" s="98" t="inlineStr">
        <is>
          <t>In-Full</t>
        </is>
      </c>
      <c r="E7" s="97" t="n">
        <v>3</v>
      </c>
      <c r="F7" s="96" t="inlineStr">
        <is>
          <t>Fully supported. Mailbox-level backup with full mailbox or granular item restore via search - mail, contacts, calendar and tasks. 10-minute RPO across the full 2-year retention period; all deletions are captured. Restore lands in the same or a new folder in the user's mailbox and only re-instates modified/deleted items. Caveat: only 'versioned' events are recoverable (edits/deletions). Some changes are not versioned, e.g. edits to items in Drafts, flag changes, sensitivity/DNF changes.</t>
        </is>
      </c>
    </row>
    <row r="8" ht="110.1" customHeight="1">
      <c r="A8" t="inlineStr">
        <is>
          <t>RQ. 04</t>
        </is>
      </c>
      <c r="B8" s="96" t="inlineStr">
        <is>
          <t xml:space="preserve">Backup and restore for Teams </t>
        </is>
      </c>
      <c r="C8" s="97" t="n">
        <v>3</v>
      </c>
      <c r="D8" s="99" t="inlineStr">
        <is>
          <t>Non-Compliant</t>
        </is>
      </c>
      <c r="E8" s="97" t="n">
        <v>0</v>
      </c>
      <c r="F8" s="96" t="inlineStr">
        <is>
          <t>NOT supported. Microsoft 365 Backup covers SharePoint, OneDrive and Exchange Online only - Teams chat and channel messages are not protection units. Partial mitigation: Teams channel files live in SharePoint and chat files in OneDrive, so file content IS protected; and Teams chat/channel messages are compliance-retained in the substrate (backed by Exchange). Alternatives: (a) Purview retention policies for Teams chat/channel messages + eDiscovery export for recovery; (b) an ISV built on the Microsoft 365 Backup Storage platform (e.g. Veeam, Commvault, AvePoint) which adds Teams message backup on top of the same fast Microsoft backup fabric.</t>
        </is>
      </c>
    </row>
    <row r="9" ht="110.1" customHeight="1">
      <c r="A9" t="inlineStr">
        <is>
          <t>RQ. 05</t>
        </is>
      </c>
      <c r="B9" s="96" t="inlineStr">
        <is>
          <t>Backup and restore for Entra ID</t>
        </is>
      </c>
      <c r="C9" s="97" t="n">
        <v>3</v>
      </c>
      <c r="D9" s="99" t="inlineStr">
        <is>
          <t>Non-Compliant</t>
        </is>
      </c>
      <c r="E9" s="97" t="n">
        <v>0</v>
      </c>
      <c r="F9" s="96" t="inlineStr">
        <is>
          <t>NOT supported. Entra ID objects (users, groups, roles, CA policies, app registrations) are out of scope for Microsoft 365 Backup. Alternatives: (a) native Entra ID soft-delete / recycle bin - 30 days for users, groups and applications; (b) Microsoft Entra ID Governance + Entra Recovery/restore APIs and Graph-based config-as-code (e.g. exporting Conditional Access and role assignments to a Git repo); (c) a third-party Entra ID backup product (Veeam, Commvault, Quest On Demand Recovery) if item-level directory rollback is a hard requirement.</t>
        </is>
      </c>
    </row>
    <row r="10" ht="110.1" customHeight="1">
      <c r="A10" t="inlineStr">
        <is>
          <t>RQ. 06</t>
        </is>
      </c>
      <c r="B10" s="96" t="inlineStr">
        <is>
          <t>Supports backup across different CSP backup storages for secondary backup copy.</t>
        </is>
      </c>
      <c r="C10" s="97" t="n">
        <v>2</v>
      </c>
      <c r="D10" s="99" t="inlineStr">
        <is>
          <t>Non-Compliant</t>
        </is>
      </c>
      <c r="E10" s="97" t="n">
        <v>0</v>
      </c>
      <c r="F10" s="96" t="inlineStr">
        <is>
          <t>NOT supported. By design, backup data never leaves the Microsoft 365 data trust boundary - only billing metadata (tenantID/siteID) goes to Azure. There is no capability to write a secondary copy to another CSP's storage or to customer-owned object storage. Alternative: run an ISV backup product (Veeam/Commvault/AvePoint/Rubrik) in parallel that writes to Azure Blob, AWS S3 or on-prem object storage for the second copy. Trade-off to make explicit with the customer: an out-of-boundary copy delivers CSP diversity but loses the in-boundary restore speed (Microsoft 365 Backup restores at up to ~2 TB/hr and 250 protection units/hr because it never moves data across the network).</t>
        </is>
      </c>
    </row>
    <row r="11" ht="110.1" customHeight="1">
      <c r="A11" t="inlineStr">
        <is>
          <t>RQ. 07</t>
        </is>
      </c>
      <c r="B11" s="96" t="inlineStr">
        <is>
          <t>Support long term retention up to 10 years.</t>
        </is>
      </c>
      <c r="C11" s="97" t="n">
        <v>3</v>
      </c>
      <c r="D11" s="99" t="inlineStr">
        <is>
          <t>Non-Compliant</t>
        </is>
      </c>
      <c r="E11" s="97" t="n">
        <v>0</v>
      </c>
      <c r="F11" s="96" t="inlineStr">
        <is>
          <t>NOT supported at 7-10 years. Maximum retention is 2 years for SharePoint, OneDrive and Exchange. Important framing for the customer: backup and long-term compliance retention are different problems. Alternatives for the 7-10 year requirement: (a) Microsoft Purview retention policies and retention labels - supports multi-year to permanent retention with disposition review, and is the supported control for regulatory retention; (b) Exchange Online Archiving with auto-expanding archive; (c) an ISV backup product if the requirement is genuinely 10-year restorable *backup* rather than compliance retention. Recommended position: Microsoft 365 Backup for operational/ransomware recovery (0-2 years) + Purview for 7-10 year regulatory retention.</t>
        </is>
      </c>
    </row>
    <row r="12" ht="110.1" customHeight="1">
      <c r="A12" t="inlineStr">
        <is>
          <t>RQ. 08</t>
        </is>
      </c>
      <c r="B12" s="96" t="inlineStr">
        <is>
          <t>Support Okta or Entra ID for role-based access control.</t>
        </is>
      </c>
      <c r="C12" s="97" t="n">
        <v>3</v>
      </c>
      <c r="D12" s="100" t="inlineStr">
        <is>
          <t>Partially</t>
        </is>
      </c>
      <c r="E12" s="97" t="n">
        <v>2</v>
      </c>
      <c r="F12" s="96" t="inlineStr">
        <is>
          <t>Supported via Entra ID role-based access control. Dedicated least-privilege role 'Microsoft 365 Backup Administrator' controls the whole tool; Global Administrator covers all three workloads; SharePoint Administrator covers SharePoint/OneDrive; Exchange Administrator covers Exchange. Okta is not natively integrated - it is supported indirectly where Okta is federated to Entra ID as the identity provider, but authorisation still resolves to Entra ID roles. If AIA's IAM standard requires Okta-native RBAC group mapping, that must be achieved through Okta-to-Entra provisioning/federation.</t>
        </is>
      </c>
    </row>
    <row r="13" ht="110.1" customHeight="1">
      <c r="A13" t="inlineStr">
        <is>
          <t>RQ. 09</t>
        </is>
      </c>
      <c r="B13" s="96" t="inlineStr">
        <is>
          <t>Support 15-30 mins user timeout on admin console.</t>
        </is>
      </c>
      <c r="C13" s="97" t="n">
        <v>2</v>
      </c>
      <c r="D13" s="100" t="inlineStr">
        <is>
          <t>Partially</t>
        </is>
      </c>
      <c r="E13" s="97" t="n">
        <v>2</v>
      </c>
      <c r="F13" s="96" t="inlineStr">
        <is>
          <t>Partially supported - not a setting inside the Backup tool. The console is the Microsoft 365 admin center, so session control is enforced at the identity layer: Entra ID Conditional Access sign-in frequency (can be set to a specific number of hours/minutes) and the Microsoft 365 idle session sign-out policy. Recommend validating that the exact 15-30 minute idle target can be met with the customer's Conditional Access configuration during PoC.</t>
        </is>
      </c>
    </row>
    <row r="14" ht="110.1" customHeight="1">
      <c r="A14" t="inlineStr">
        <is>
          <t>RQ. 10</t>
        </is>
      </c>
      <c r="B14" s="96" t="inlineStr">
        <is>
          <t>Support storage account tiering (hot, cold, archive).</t>
        </is>
      </c>
      <c r="C14" s="97" t="n">
        <v>2</v>
      </c>
      <c r="D14" s="117" t="inlineStr">
        <is>
          <t>Partially</t>
        </is>
      </c>
      <c r="E14" s="97" t="n">
        <v>1</v>
      </c>
      <c r="F14" s="96" t="inlineStr">
        <is>
          <t>Partially - the intent (storage cost optimisation) is met, but not through customer-managed tiers. Microsoft 365 Backup has no customer-managed storage tiers - it is a flat consumption price of USD 0.15 per GB per month of protected data, with restores free. There is no hot/cool/archive tier to tune. Related but separate product: Microsoft 365 Archive lets you move cold SharePoint sites to a lower-cost tier while keeping them in place. Note the requirement's intent (storage cost optimisation) is partly met by the fact that Microsoft manages the storage efficiency and restores are not charged.</t>
        </is>
      </c>
    </row>
    <row r="15" ht="110.1" customHeight="1">
      <c r="A15" t="inlineStr">
        <is>
          <t>RQ. 11</t>
        </is>
      </c>
      <c r="B15" s="96" t="inlineStr">
        <is>
          <t>Support data deduplication</t>
        </is>
      </c>
      <c r="C15" s="97" t="n">
        <v>2</v>
      </c>
      <c r="D15" s="100" t="inlineStr">
        <is>
          <t>Partially</t>
        </is>
      </c>
      <c r="E15" s="97" t="n">
        <v>1</v>
      </c>
      <c r="F15" s="96" t="inlineStr">
        <is>
          <t>No customer-visible or customer-configurable deduplication. Storage efficiency is handled internally - backups are change-based/incremental and stored on append-only blob storage built on the SharePoint/OneDrive and Exchange infrastructure, so unchanged content is not re-stored. However you cannot report on, or tune, a dedup ratio, and billing is on the volume of protected data rather than on stored backup data.</t>
        </is>
      </c>
    </row>
    <row r="16" ht="110.1" customHeight="1">
      <c r="A16" t="inlineStr">
        <is>
          <t>RQ. 12</t>
        </is>
      </c>
      <c r="B16" s="96" t="inlineStr">
        <is>
          <t>SaaS model</t>
        </is>
      </c>
      <c r="C16" s="97" t="n">
        <v>1</v>
      </c>
      <c r="D16" s="98" t="inlineStr">
        <is>
          <t>In-Full</t>
        </is>
      </c>
      <c r="E16" s="97" t="n">
        <v>3</v>
      </c>
      <c r="F16" s="96" t="inlineStr">
        <is>
          <t>Fully supported as SaaS - first-party Microsoft service, no infrastructure, agents or connectors to deploy or patch. One nuance vs. the requirement wording: commercial model is pay-as-you-go consumption billed through an Azure subscription (USD 0.15/GB/month), not a per-user subscription licence. Departmental billing across multiple Azure subscriptions is supported if AIA needs cost split by business unit.</t>
        </is>
      </c>
    </row>
    <row r="17" ht="110.1" customHeight="1">
      <c r="A17" t="inlineStr">
        <is>
          <t>RQ. 13</t>
        </is>
      </c>
      <c r="B17" s="96" t="inlineStr">
        <is>
          <t>Supports multiple backups in a day.</t>
        </is>
      </c>
      <c r="C17" s="97" t="n">
        <v>1</v>
      </c>
      <c r="D17" s="98" t="inlineStr">
        <is>
          <t>In-Full</t>
        </is>
      </c>
      <c r="E17" s="97" t="n">
        <v>3</v>
      </c>
      <c r="F17" s="96" t="inlineStr">
        <is>
          <t>Fully supported and exceeds the requirement. 10-minute RPO - changes are captured as a new version every 10 minutes for SharePoint/OneDrive (trailing 2 weeks, then weekly restore points out to the 2-year retention period) and for Exchange (across the full 2-year retention period). All deletions are captured regardless of frequency. This is materially better than the typical ISV 1-4 backups per day.</t>
        </is>
      </c>
    </row>
    <row r="18" ht="110.1" customHeight="1">
      <c r="A18" t="inlineStr">
        <is>
          <t>RQ. 14</t>
        </is>
      </c>
      <c r="B18" s="96" t="inlineStr">
        <is>
          <t>Supports immutable backup configuration.</t>
        </is>
      </c>
      <c r="C18" s="97" t="n">
        <v>3</v>
      </c>
      <c r="D18" s="100" t="inlineStr">
        <is>
          <t>Partially</t>
        </is>
      </c>
      <c r="E18" s="97" t="n">
        <v>2</v>
      </c>
      <c r="F18" s="96" t="inlineStr">
        <is>
          <t>Partially - append-only rather than formally immutable (WORM). Backup data cannot be altered, overwritten or encrypted by a service or malware process because it is stored on append-only blobs; Purview retention or deletion policies cannot affect backup retention. Deletion is deliberately NOT blocked, so customers retain a GDPR/offboarding path. Compensating controls: a fixed 90-day recovery grace period after offboarding (backup 'recycle bin'), and multi-admin email notification for potentially harmful actions (disabling backup, removing protection units, offboarding, transferring controller). If the customer's control requires a legally-enforced WORM lock that no admin can override, that gap must be documented and accepted or covered by an ISV with immutable object storage.</t>
        </is>
      </c>
    </row>
    <row r="19" ht="110.1" customHeight="1">
      <c r="A19" t="inlineStr">
        <is>
          <t>RQ. 15</t>
        </is>
      </c>
      <c r="B19" s="96" t="inlineStr">
        <is>
          <t>Tighter Integration with Microsoft SaaS services</t>
        </is>
      </c>
      <c r="C19" s="97" t="n">
        <v>3</v>
      </c>
      <c r="D19" s="98" t="inlineStr">
        <is>
          <t>In-Full</t>
        </is>
      </c>
      <c r="E19" s="97" t="n">
        <v>3</v>
      </c>
      <c r="F19" s="96" t="inlineStr">
        <is>
          <t>Strongest differentiator. Native first-party service - backups are created inside the workload's own data boundary, so there is no API throttling, no export egress, no connector accounts and no separate consent model. Managed from the Microsoft 365 admin center, with Graph APIs and PowerShell cmdlets for automation. It also underpins the Microsoft 365 Backup Storage platform used by Veeam/Commvault/AvePoint, so an ISV choice can still ride the same native fabric.</t>
        </is>
      </c>
    </row>
    <row r="20" ht="110.1" customHeight="1">
      <c r="A20" t="inlineStr">
        <is>
          <t>RQ. 16</t>
        </is>
      </c>
      <c r="B20" s="96" t="inlineStr">
        <is>
          <t>Self service restoration portal for end users</t>
        </is>
      </c>
      <c r="C20" s="97" t="n">
        <v>2</v>
      </c>
      <c r="D20" s="100" t="inlineStr">
        <is>
          <t>Partially</t>
        </is>
      </c>
      <c r="E20" s="97" t="n">
        <v>1</v>
      </c>
      <c r="F20" s="96" t="inlineStr">
        <is>
          <t>No end-user self-service restore in the Backup tool - only tenant-level admins (Global, SharePoint, Exchange or Microsoft 365 Backup Administrator) can run backups and restores. End users cannot restore their own account or site from Backup. Alternatives already available natively: OneDrive 'Restore your OneDrive' (30-day self-service rollback), SharePoint/OneDrive version history, first- and second-stage recycle bin (93 days), and Outlook Recover Deleted Items. If a true self-service restore portal is required, ISVs built on the Microsoft 365 Backup Storage platform expose delegated end-user restore portals.</t>
        </is>
      </c>
    </row>
    <row r="21" ht="150" customHeight="1">
      <c r="A21" t="inlineStr">
        <is>
          <t>RQ. 17</t>
        </is>
      </c>
      <c r="B21" s="96" t="inlineStr">
        <is>
          <t>Support backup of Retention and Litigation Hold Items</t>
        </is>
      </c>
      <c r="C21" s="97" t="n">
        <v>3</v>
      </c>
      <c r="D21" s="100" t="inlineStr">
        <is>
          <t>Partially</t>
        </is>
      </c>
      <c r="E21" s="97" t="n">
        <v>2</v>
      </c>
      <c r="F21" s="96" t="inlineStr">
        <is>
          <t>Supported. Items subject to Microsoft Purview retention policies or litigation hold remain available to Microsoft 365 Backup and can be recovered from backup restore points. Backup retention operates independently of Purview retention and deletion controls, providing a complementary operational-recovery layer for retained or held content.</t>
        </is>
      </c>
    </row>
    <row r="22" ht="165" customHeight="1">
      <c r="A22" t="inlineStr">
        <is>
          <t>RQ. 18</t>
        </is>
      </c>
      <c r="B22" s="96" t="inlineStr">
        <is>
          <t xml:space="preserve">Backup of data in the Microsoft Archive storage </t>
        </is>
      </c>
      <c r="C22" s="97" t="n">
        <v>3</v>
      </c>
      <c r="D22" s="98" t="inlineStr">
        <is>
          <t>In-Full</t>
        </is>
      </c>
      <c r="E22" s="97" t="n">
        <v>3</v>
      </c>
      <c r="F22" s="96" t="inlineStr">
        <is>
          <t>Supported. SharePoint sites stored in Microsoft 365 Archive can be protected by Microsoft 365 Backup. The archived site can remain covered by the backup policy, with restore points available in line with the SharePoint backup retention model. Confirm the exact restore workflow during the PoC, including whether the site must be reactivated before content can be restored.</t>
        </is>
      </c>
    </row>
    <row r="23" ht="110.1" customHeight="1">
      <c r="A23" t="inlineStr">
        <is>
          <t>RQ. 19</t>
        </is>
      </c>
      <c r="B23" s="96" t="inlineStr">
        <is>
          <t>Support 256-bit encryption</t>
        </is>
      </c>
      <c r="C23" s="97" t="n">
        <v>2</v>
      </c>
      <c r="D23" s="98" t="inlineStr">
        <is>
          <t>In-Full</t>
        </is>
      </c>
      <c r="E23" s="97" t="n">
        <v>3</v>
      </c>
      <c r="F23" s="96" t="inlineStr">
        <is>
          <t>Fully supported by inheritance. Backup data resides in SharePoint/OneDrive and Exchange Online storage and inherits Microsoft 365 encryption - AES-256 BitLocker plus per-file encryption at rest, and TLS 1.2+ in transit. Because data never leaves the Microsoft 365 trust boundary there is no additional egress path to secure. Customer Key (BYOK via Azure Key Vault) applies to the underlying workloads.</t>
        </is>
      </c>
    </row>
    <row r="24" ht="110.1" customHeight="1">
      <c r="A24" t="inlineStr">
        <is>
          <t>RQ. 20</t>
        </is>
      </c>
      <c r="B24" s="96" t="inlineStr">
        <is>
          <t>Support MFA</t>
        </is>
      </c>
      <c r="C24" s="97" t="n">
        <v>2</v>
      </c>
      <c r="D24" s="98" t="inlineStr">
        <is>
          <t>In-Full</t>
        </is>
      </c>
      <c r="E24" s="97" t="n">
        <v>3</v>
      </c>
      <c r="F24" s="96" t="inlineStr">
        <is>
          <t>Fully supported. Access to the Microsoft 365 admin center and the Backup tool is authenticated by Entra ID, so MFA, phishing-resistant MFA, and Conditional Access (device compliance, named locations, PIM just-in-time elevation of the Microsoft 365 Backup Administrator role) all apply. Recommend requiring PIM + phishing-resistant MFA on the Backup Administrator role.</t>
        </is>
      </c>
    </row>
    <row r="25" ht="110.1" customHeight="1">
      <c r="A25" t="inlineStr">
        <is>
          <t>RQ. 21</t>
        </is>
      </c>
      <c r="B25" s="96" t="inlineStr">
        <is>
          <t>Unlimited Storage</t>
        </is>
      </c>
      <c r="C25" s="97" t="n">
        <v>2</v>
      </c>
      <c r="D25" s="100" t="inlineStr">
        <is>
          <t>Partially</t>
        </is>
      </c>
      <c r="E25" s="97" t="n">
        <v>2</v>
      </c>
      <c r="F25" s="96" t="inlineStr">
        <is>
          <t>Partially. There is no storage cap - capacity is effectively unlimited and billed per GB protected. Departed/unlicensed users: when a user is removed from the backup policy or deleted from Entra ID, the OneDrive and mailbox backups are retained for 2 years from the date each backup was created, and hard-deleted mailboxes are retained as inactive mailboxes while the policy remains in effect. Removed SharePoint sites are held for the full backup retention period from restore point creation. Gap: retention still tops out at 2 years, and protected data continues to accrue cost - so this is 'unlimited capacity', not 'free' or 'indefinite'.</t>
        </is>
      </c>
    </row>
    <row r="26" ht="110.1" customHeight="1">
      <c r="A26" t="inlineStr">
        <is>
          <t>RQ. 22</t>
        </is>
      </c>
      <c r="B26" s="96" t="inlineStr">
        <is>
          <t>Dynamic Disaster Recovery</t>
        </is>
      </c>
      <c r="C26" s="97" t="n">
        <v>3</v>
      </c>
      <c r="D26" s="98" t="inlineStr">
        <is>
          <t>In-Full</t>
        </is>
      </c>
      <c r="E26" s="97" t="n">
        <v>3</v>
      </c>
      <c r="F26" s="96" t="inlineStr">
        <is>
          <t>Strongly supported. Designed exactly for mass ransomware/deletion recovery: in-place bulk restore, 'express' restore points for fastest rollback, and search-based granular Exchange item restore. Published median performance: 1 site/OneDrive in ~30 min; 250 units in ~4 hrs; 1,000+ units at up to 250 protection units/hour and up to ~2 TB/hour; Exchange at roughly 100-500 items/mailbox/minute. Restores are free of charge. Partial gap: there is no side-by-side 'compare' feature between a restore point and live data - that is an ISV differentiator.</t>
        </is>
      </c>
    </row>
    <row r="27" ht="110.1" customHeight="1">
      <c r="A27" t="inlineStr">
        <is>
          <t>RQ. 23</t>
        </is>
      </c>
      <c r="B27" s="96" t="inlineStr">
        <is>
          <t>Monitoring and Reporting</t>
        </is>
      </c>
      <c r="C27" s="97" t="n">
        <v>3</v>
      </c>
      <c r="D27" s="100" t="inlineStr">
        <is>
          <t>Partially</t>
        </is>
      </c>
      <c r="E27" s="97" t="n">
        <v>2</v>
      </c>
      <c r="F27" s="96" t="inlineStr">
        <is>
          <t>Supported at an operational level. Microsoft 365 admin center provides backup and restore job status, policy and protection-unit views, and consumption/billing reporting; Graph APIs and PowerShell enable custom reporting. Multi-admin email notifications deliver a daily digest for potentially harmful events (backup disabled, protection units removed, offboarding, controller transfer, policy paused) and, optionally, routine events (policy changes, restores). Gap vs. a mature ISV: no built-in scheduled compliance reports, no custom report designer, and 10-minute RPO jobs are not included in notification events - plan on Graph API + Power BI if AIA needs formal compliance reporting.</t>
        </is>
      </c>
    </row>
    <row r="28" ht="110.1" customHeight="1">
      <c r="A28" t="inlineStr">
        <is>
          <t>RQ. 24</t>
        </is>
      </c>
      <c r="B28" s="96" t="inlineStr">
        <is>
          <t>Logging</t>
        </is>
      </c>
      <c r="C28" s="97" t="n">
        <v>3</v>
      </c>
      <c r="D28" s="98" t="inlineStr">
        <is>
          <t>In-Full</t>
        </is>
      </c>
      <c r="E28" s="97" t="n">
        <v>3</v>
      </c>
      <c r="F28" s="96" t="inlineStr">
        <is>
          <t>Fully supported. All backup and restore actions are fully auditable and surface in the Purview unified audit log, which can be exported to Microsoft Sentinel or a third-party SIEM for retention and correlation. Graph APIs are available for programmatic retrieval.</t>
        </is>
      </c>
    </row>
    <row r="29" ht="110.1" customHeight="1">
      <c r="A29" t="inlineStr">
        <is>
          <t>RQ. 25</t>
        </is>
      </c>
      <c r="B29" s="96" t="inlineStr">
        <is>
          <t>Multi-Tenant Support</t>
        </is>
      </c>
      <c r="C29" s="97" t="n">
        <v>2</v>
      </c>
      <c r="D29" s="98" t="inlineStr">
        <is>
          <t>In-Full</t>
        </is>
      </c>
      <c r="E29" s="97" t="n">
        <v>3</v>
      </c>
      <c r="F29" s="96" t="inlineStr">
        <is>
          <t xml:space="preserve">Microsoft 365 Backup supports restoring sites and user accounts from both central and satellite locations if the multi-geo feature is enabled on your tenant. </t>
        </is>
      </c>
    </row>
    <row r="30" ht="110.1" customHeight="1">
      <c r="A30" t="inlineStr">
        <is>
          <t>RQ. 26</t>
        </is>
      </c>
      <c r="B30" s="96" t="inlineStr">
        <is>
          <t>Disaster Recovey across Regions</t>
        </is>
      </c>
      <c r="C30" s="97" t="n">
        <v>3</v>
      </c>
      <c r="D30" s="98" t="inlineStr">
        <is>
          <t>In-Full</t>
        </is>
      </c>
      <c r="E30" s="97" t="n">
        <v>3</v>
      </c>
      <c r="F30" s="96" t="inlineStr">
        <is>
          <t>Fully supported and inherited from the workload. Backups are physically redundant and geographically replicated, and the underlying SharePoint/OneDrive and Exchange architectures maintain replicated live copies with automatic failover requiring no customer intervention. Note the distinction to draw for the customer: geo-replication protects against physical/site disaster; the backup restore points are what protect against ransomware and deletion. Microsoft 365 Backup provides both layers.</t>
        </is>
      </c>
    </row>
    <row r="31" ht="110.1" customHeight="1">
      <c r="A31" t="inlineStr">
        <is>
          <t>RQ. 27</t>
        </is>
      </c>
      <c r="B31" s="96" t="inlineStr">
        <is>
          <t>Support of Local data residency</t>
        </is>
      </c>
      <c r="C31" s="97" t="n">
        <v>3</v>
      </c>
      <c r="D31" s="98" t="inlineStr">
        <is>
          <t>In-Full</t>
        </is>
      </c>
      <c r="E31" s="97" t="n">
        <v>3</v>
      </c>
      <c r="F31" s="96" t="inlineStr">
        <is>
          <t>Largely supported. Backups honour the tenant's existing data residency - data never leaves the Microsoft 365 data trust boundary or its geographic location - and Multi-Geo is supported, backing up sites and accounts in both central and satellite locations. So AU, KR and TW business units are covered where those Multi-Geo locations are enabled. Specific item to validate: China. Microsoft 365 operated by 21Vianet is a separate sovereign cloud, and service availability there must be confirmed separately - do not assume parity. GCC is supported if any US-government-adjacent entity is in scope.</t>
        </is>
      </c>
    </row>
    <row r="32" ht="110.1" customHeight="1">
      <c r="A32" t="inlineStr">
        <is>
          <t>RQ. 28</t>
        </is>
      </c>
      <c r="B32" s="96" t="inlineStr">
        <is>
          <t>Operational support</t>
        </is>
      </c>
      <c r="C32" s="97" t="n">
        <v>3</v>
      </c>
      <c r="D32" s="98" t="inlineStr">
        <is>
          <t>In-Full</t>
        </is>
      </c>
      <c r="E32" s="97" t="n">
        <v>3</v>
      </c>
      <c r="F32" s="96" t="inlineStr">
        <is>
          <t>Supported. Standard Microsoft support pathways apply - Unified/Premier Support with 24x7 follow-the-sun coverage, severity-based response SLAs, local-language support in APAC including Australia, Korea, Taiwan and Greater China, plus the account CSA/CSAM team. Recommend confirming AIA's current support agreement tier and attaching the specific severity response commitments to the evaluation.</t>
        </is>
      </c>
    </row>
    <row r="33" ht="110.1" customHeight="1">
      <c r="A33" t="inlineStr">
        <is>
          <t>RQ. 29</t>
        </is>
      </c>
      <c r="B33" s="96" t="inlineStr">
        <is>
          <t>Backup and restore of PowerBI</t>
        </is>
      </c>
      <c r="C33" s="97" t="n">
        <v>1</v>
      </c>
      <c r="D33" s="99" t="inlineStr">
        <is>
          <t>Non-Compliant</t>
        </is>
      </c>
      <c r="E33" s="97" t="n">
        <v>0</v>
      </c>
      <c r="F33" s="96" t="inlineStr">
        <is>
          <t>NOT supported. Power BI / Fabric content is out of scope for Microsoft 365 Backup. Alternatives: Fabric/Power BI workspace Git integration and deployment pipelines for artefact version control; semantic model backup and restore via XMLA endpoint / .pbix or .bim export (Premium or Fabric capacity); OneLake data is protected by workspace-level retention. Noted as 'good to have' with weightage 1, so recommend excluding it from the core decision criteria.</t>
        </is>
      </c>
    </row>
    <row r="34" ht="110.1" customHeight="1">
      <c r="A34" t="inlineStr">
        <is>
          <t>RQ. 30</t>
        </is>
      </c>
      <c r="B34" s="96" t="inlineStr">
        <is>
          <t>Backup and restore of MS Dynamics SaaS</t>
        </is>
      </c>
      <c r="C34" s="97" t="n">
        <v>1</v>
      </c>
      <c r="D34" s="99" t="inlineStr">
        <is>
          <t>Non-Compliant</t>
        </is>
      </c>
      <c r="E34" s="97" t="n">
        <v>0</v>
      </c>
      <c r="F34" s="96" t="inlineStr">
        <is>
          <t>NOT supported. Dynamics 365 / Dataverse is out of scope for Microsoft 365 Backup. Alternatives: Dataverse native system backups (continuous, retained up to 28 days for production) plus on-demand manual backups, environment copy/restore, and long-term data retention in Dataverse; ISVs (Commvault, AvePoint) cover Dynamics if a longer window is required. Noted as 'good to have' with weightage 1.</t>
        </is>
      </c>
    </row>
    <row r="35" ht="110.1" customHeight="1">
      <c r="A35" t="inlineStr">
        <is>
          <t>RQ. 31</t>
        </is>
      </c>
      <c r="B35" s="96" t="inlineStr">
        <is>
          <t>Retention still enabled for inactive users (left company)</t>
        </is>
      </c>
      <c r="C35" s="97" t="n">
        <v>3</v>
      </c>
      <c r="D35" s="100" t="inlineStr">
        <is>
          <t>Partially</t>
        </is>
      </c>
      <c r="E35" s="97" t="n">
        <v>2</v>
      </c>
      <c r="F35" s="96" t="inlineStr">
        <is>
          <t>Partially supported. Backups of a departed user's OneDrive and mailbox continue to be retained for 2 years from the date each backup was created, even after the user is removed from the policy or deleted from Entra ID, and hard-deleted mailboxes are preserved as inactive mailboxes while the policy remains in effect. Recovery path is documented (Restore a user within 30 days of soft-delete, or Recover an inactive mailbox - note the 'Restore an inactive mailbox' path does NOT preserve backup data). Gap: 2-year ceiling, which will not satisfy a 7-10 year leaver-retention obligation - pair with Purview retention policies and inactive mailboxes for the regulatory tail.</t>
        </is>
      </c>
    </row>
    <row r="36"/>
    <row r="37"/>
    <row r="38">
      <c r="A38" s="118" t="inlineStr">
        <is>
          <t>Coverage Summary</t>
        </is>
      </c>
    </row>
    <row r="39">
      <c r="A39" s="119" t="inlineStr">
        <is>
          <t>Measure</t>
        </is>
      </c>
      <c r="B39" s="119" t="inlineStr">
        <is>
          <t>Count</t>
        </is>
      </c>
      <c r="C39" s="119" t="inlineStr">
        <is>
          <t>% of total</t>
        </is>
      </c>
    </row>
    <row r="40" ht="18" customHeight="1">
      <c r="A40" s="120" t="inlineStr">
        <is>
          <t>Requirements assessed</t>
        </is>
      </c>
      <c r="B40" s="1" t="n">
        <v>31</v>
      </c>
      <c r="C40" s="1" t="inlineStr"/>
    </row>
    <row r="41" ht="18" customHeight="1">
      <c r="A41" s="120" t="inlineStr">
        <is>
          <t>Met in full (In-Full)</t>
        </is>
      </c>
      <c r="B41" s="1" t="n">
        <v>15</v>
      </c>
      <c r="C41" s="1" t="inlineStr">
        <is>
          <t>48%</t>
        </is>
      </c>
    </row>
    <row r="42" ht="18" customHeight="1">
      <c r="A42" s="120" t="inlineStr">
        <is>
          <t>Met in part (Partially)</t>
        </is>
      </c>
      <c r="B42" s="1" t="n">
        <v>10</v>
      </c>
      <c r="C42" s="1" t="inlineStr">
        <is>
          <t>32%</t>
        </is>
      </c>
    </row>
    <row r="43" ht="18" customHeight="1">
      <c r="A43" s="120" t="inlineStr">
        <is>
          <t>Addressed in full or in part</t>
        </is>
      </c>
      <c r="B43" s="1" t="n">
        <v>25</v>
      </c>
      <c r="C43" s="1" t="inlineStr">
        <is>
          <t>81%</t>
        </is>
      </c>
    </row>
    <row r="44" ht="18" customHeight="1">
      <c r="A44" s="120" t="inlineStr">
        <is>
          <t>Not supported (Non-Compliant)</t>
        </is>
      </c>
      <c r="B44" s="1" t="n">
        <v>6</v>
      </c>
      <c r="C44" s="1" t="inlineStr">
        <is>
          <t>19%</t>
        </is>
      </c>
    </row>
    <row r="45" ht="18" customHeight="1">
      <c r="A45" s="120" t="inlineStr">
        <is>
          <t>Weighted capability score (0-3 scored against requirement weighting)</t>
        </is>
      </c>
      <c r="B45" s="1" t="inlineStr"/>
      <c r="C45" s="1" t="inlineStr">
        <is>
          <t>69%</t>
        </is>
      </c>
    </row>
    <row r="46" ht="18" customHeight="1">
      <c r="A46" s="120" t="inlineStr">
        <is>
          <t>Critical (weight 3) requirements addressed</t>
        </is>
      </c>
      <c r="B46" s="1" t="inlineStr">
        <is>
          <t>15 of 18</t>
        </is>
      </c>
      <c r="C46" s="1" t="inlineStr">
        <is>
          <t>83%</t>
        </is>
      </c>
    </row>
    <row r="47" ht="18" customHeight="1">
      <c r="A47" s="120" t="inlineStr">
        <is>
          <t>Critical requirements met in full</t>
        </is>
      </c>
      <c r="B47" s="1" t="inlineStr">
        <is>
          <t>10 of 18</t>
        </is>
      </c>
      <c r="C47" s="1" t="inlineStr">
        <is>
          <t>56%</t>
        </is>
      </c>
    </row>
    <row r="48" ht="18" customHeight="1">
      <c r="A48" s="120" t="inlineStr">
        <is>
          <t>Addressed, excluding "good to have" (RQ.29, RQ.30)</t>
        </is>
      </c>
      <c r="B48" s="1" t="inlineStr">
        <is>
          <t>25 of 29</t>
        </is>
      </c>
      <c r="C48" s="1" t="inlineStr">
        <is>
          <t>86%</t>
        </is>
      </c>
    </row>
    <row r="50">
      <c r="A50" s="121" t="inlineStr">
        <is>
          <t>Non-compliant requirements: RQ. 04, RQ. 05, RQ. 06, RQ. 07, RQ. 29, RQ. 30</t>
        </is>
      </c>
    </row>
    <row r="51">
      <c r="A51" s="121" t="inlineStr">
        <is>
          <t>Of these, critical (weight 3): RQ. 04, RQ. 05, RQ. 07</t>
        </is>
      </c>
    </row>
  </sheetData>
  <pageMargins left="0.75" right="0.75" top="1" bottom="1" header="0.5" footer="0.5"/>
</worksheet>
</file>

<file path=xl/worksheets/sheet3.xml><?xml version="1.0" encoding="utf-8"?>
<worksheet xmlns="http://schemas.openxmlformats.org/spreadsheetml/2006/main">
  <sheetPr>
    <tabColor rgb="FFFFC000"/>
    <outlinePr summaryBelow="1" summaryRight="1"/>
    <pageSetUpPr/>
  </sheetPr>
  <dimension ref="B1:R204"/>
  <sheetViews>
    <sheetView zoomScaleNormal="100" workbookViewId="0">
      <pane xSplit="4" ySplit="3" topLeftCell="E4" activePane="bottomRight" state="frozen"/>
      <selection pane="topRight" activeCell="E1" sqref="E1"/>
      <selection pane="bottomLeft" activeCell="A4" sqref="A4"/>
      <selection pane="bottomRight" activeCell="F4" sqref="F4"/>
    </sheetView>
  </sheetViews>
  <sheetFormatPr baseColWidth="8" defaultColWidth="8.7109375" defaultRowHeight="15"/>
  <cols>
    <col width="2.7109375" customWidth="1" style="6" min="1" max="1"/>
    <col width="7.85546875" customWidth="1" style="6" min="2" max="2"/>
    <col width="50.28515625" customWidth="1" style="6" min="3" max="4"/>
    <col width="14.85546875" customWidth="1" style="6" min="5" max="5"/>
    <col width="27.7109375" bestFit="1" customWidth="1" style="6" min="6" max="6"/>
    <col width="10.7109375" bestFit="1" customWidth="1" style="6" min="7" max="7"/>
    <col width="95" customWidth="1" style="6" min="8" max="8"/>
    <col width="10.7109375" bestFit="1" customWidth="1" style="6" min="9" max="9"/>
    <col width="44.140625" customWidth="1" style="6" min="10" max="10"/>
    <col width="10.7109375" bestFit="1" customWidth="1" style="6" min="11" max="11"/>
    <col width="44.140625" customWidth="1" style="6" min="12" max="12"/>
    <col width="10.7109375" bestFit="1" customWidth="1" style="6" min="13" max="13"/>
    <col width="44.140625" customWidth="1" style="6" min="14" max="14"/>
    <col width="10.7109375" bestFit="1" customWidth="1" style="6" min="15" max="15"/>
    <col width="44.140625" customWidth="1" style="6" min="16" max="16"/>
    <col width="10.7109375" bestFit="1" customWidth="1" style="6" min="17" max="17"/>
    <col width="44.140625" customWidth="1" style="6" min="18" max="18"/>
    <col width="8.7109375" customWidth="1" style="6" min="19" max="19"/>
    <col width="8.7109375" customWidth="1" style="6" min="20" max="16384"/>
  </cols>
  <sheetData>
    <row r="1" ht="15.75" customHeight="1" thickBot="1">
      <c r="B1" s="50" t="inlineStr">
        <is>
          <t>Initial Product Review (all products, shortlist 3-5).</t>
        </is>
      </c>
    </row>
    <row r="2" ht="15.6" customHeight="1">
      <c r="B2" s="9" t="n"/>
      <c r="C2" s="10" t="n"/>
      <c r="D2" s="11" t="n"/>
      <c r="E2" s="11" t="n"/>
      <c r="F2" s="12" t="n"/>
      <c r="G2" s="106" t="inlineStr">
        <is>
          <t>M365 Backup</t>
        </is>
      </c>
      <c r="H2" s="107" t="n"/>
      <c r="I2" s="109" t="inlineStr">
        <is>
          <t>Veeam M365</t>
        </is>
      </c>
      <c r="J2" s="103" t="n"/>
      <c r="K2" s="108" t="inlineStr">
        <is>
          <t>Commvault</t>
        </is>
      </c>
      <c r="L2" s="103" t="n"/>
      <c r="M2" s="104" t="n"/>
      <c r="N2" s="103" t="n"/>
      <c r="O2" s="102" t="n"/>
      <c r="P2" s="103" t="n"/>
      <c r="Q2" s="105" t="n"/>
      <c r="R2" s="103" t="n"/>
    </row>
    <row r="3" ht="33.6" customHeight="1">
      <c r="B3" s="40" t="inlineStr">
        <is>
          <t>RQ #</t>
        </is>
      </c>
      <c r="C3" s="41" t="inlineStr">
        <is>
          <t>Requirements / Use Cases</t>
        </is>
      </c>
      <c r="D3" s="42" t="inlineStr">
        <is>
          <t>Minimum Acceptance Criteria
/ Expected outcome</t>
        </is>
      </c>
      <c r="E3" s="42" t="inlineStr">
        <is>
          <t>Requirement Type</t>
        </is>
      </c>
      <c r="F3" s="43" t="inlineStr">
        <is>
          <t>Requirement
Category</t>
        </is>
      </c>
      <c r="G3" s="13" t="inlineStr">
        <is>
          <t>Capability Score</t>
        </is>
      </c>
      <c r="H3" s="44" t="inlineStr">
        <is>
          <t>Comments</t>
        </is>
      </c>
      <c r="I3" s="13" t="inlineStr">
        <is>
          <t>Capability Score</t>
        </is>
      </c>
      <c r="J3" s="44" t="inlineStr">
        <is>
          <t>Comments</t>
        </is>
      </c>
      <c r="K3" s="13" t="inlineStr">
        <is>
          <t>Capability Score</t>
        </is>
      </c>
      <c r="L3" s="44" t="inlineStr">
        <is>
          <t>Comments</t>
        </is>
      </c>
      <c r="M3" s="13" t="inlineStr">
        <is>
          <t>Capability Score</t>
        </is>
      </c>
      <c r="N3" s="44" t="inlineStr">
        <is>
          <t>Comments</t>
        </is>
      </c>
      <c r="O3" s="13" t="inlineStr">
        <is>
          <t>Capability Score</t>
        </is>
      </c>
      <c r="P3" s="44" t="inlineStr">
        <is>
          <t>Comments</t>
        </is>
      </c>
      <c r="Q3" s="13" t="inlineStr">
        <is>
          <t>Capability Score</t>
        </is>
      </c>
      <c r="R3" s="44" t="inlineStr">
        <is>
          <t>Comments</t>
        </is>
      </c>
    </row>
    <row r="4" ht="110" customHeight="1">
      <c r="B4" s="60">
        <f>IFERROR('01_Key Requirements &amp; Use Cases'!$B3,"")</f>
        <v/>
      </c>
      <c r="C4" s="61">
        <f>IFERROR('01_Key Requirements &amp; Use Cases'!$C3,"")</f>
        <v/>
      </c>
      <c r="D4" s="62">
        <f>IFERROR('01_Key Requirements &amp; Use Cases'!$D3,"")</f>
        <v/>
      </c>
      <c r="E4" s="8">
        <f>IFERROR('01_Key Requirements &amp; Use Cases'!$E3,"")</f>
        <v/>
      </c>
      <c r="F4" s="63">
        <f>IFERROR('01_Key Requirements &amp; Use Cases'!$F3,"")</f>
        <v/>
      </c>
      <c r="G4" s="74" t="n">
        <v>3</v>
      </c>
      <c r="H4" s="101" t="inlineStr">
        <is>
          <t>Fully supported. Site-level backup of all or selected SharePoint sites; restore to same or new URL. Full-site rollback to a prior point in time, plus granular folder/file and file-version restore. RPO: 10-minute restore points for the trailing 2 weeks, then weekly restore points from 2 weeks out to the full 2-year retention period. Note: a small set of legacy site templates is unsupported (Review Center, Policy Center, Tenant admin site, MySite Host, SharePoint Embedded containers).</t>
        </is>
      </c>
      <c r="I4" s="64" t="n"/>
      <c r="J4" s="65" t="n"/>
      <c r="K4" s="64" t="n"/>
      <c r="L4" s="65" t="n"/>
      <c r="M4" s="64" t="n"/>
      <c r="N4" s="65" t="n"/>
      <c r="O4" s="64" t="n"/>
      <c r="P4" s="65" t="n"/>
      <c r="Q4" s="64" t="n"/>
      <c r="R4" s="65" t="n"/>
    </row>
    <row r="5" ht="110" customHeight="1">
      <c r="B5" s="60">
        <f>IFERROR('01_Key Requirements &amp; Use Cases'!$B4,"")</f>
        <v/>
      </c>
      <c r="C5" s="61">
        <f>IFERROR('01_Key Requirements &amp; Use Cases'!$C4,"")</f>
        <v/>
      </c>
      <c r="D5" s="62">
        <f>IFERROR('01_Key Requirements &amp; Use Cases'!$D4,"")</f>
        <v/>
      </c>
      <c r="E5" s="8">
        <f>IFERROR('01_Key Requirements &amp; Use Cases'!$E4,"")</f>
        <v/>
      </c>
      <c r="F5" s="63">
        <f>IFERROR('01_Key Requirements &amp; Use Cases'!$F4,"")</f>
        <v/>
      </c>
      <c r="G5" s="74" t="n">
        <v>3</v>
      </c>
      <c r="H5" s="101" t="inlineStr">
        <is>
          <t>Fully supported. Backup granularity = OneDrive account; restore to same or new URL, full-account rollback plus granular file/folder and version restore. Same restore point model as SharePoint - 10-minute restore points for the trailing 2 weeks, then weekly restore points out to the full 2-year retention period.</t>
        </is>
      </c>
      <c r="I5" s="64" t="n"/>
      <c r="J5" s="65" t="n"/>
      <c r="K5" s="64" t="n"/>
      <c r="L5" s="65" t="n"/>
      <c r="M5" s="64" t="n"/>
      <c r="N5" s="65" t="n"/>
      <c r="O5" s="64" t="n"/>
      <c r="P5" s="65" t="n"/>
      <c r="Q5" s="64" t="n"/>
      <c r="R5" s="65" t="n"/>
    </row>
    <row r="6" ht="110" customHeight="1">
      <c r="B6" s="60">
        <f>IFERROR('01_Key Requirements &amp; Use Cases'!$B5,"")</f>
        <v/>
      </c>
      <c r="C6" s="61">
        <f>IFERROR('01_Key Requirements &amp; Use Cases'!$C5,"")</f>
        <v/>
      </c>
      <c r="D6" s="62">
        <f>IFERROR('01_Key Requirements &amp; Use Cases'!$D5,"")</f>
        <v/>
      </c>
      <c r="E6" s="8">
        <f>IFERROR('01_Key Requirements &amp; Use Cases'!$E5,"")</f>
        <v/>
      </c>
      <c r="F6" s="63">
        <f>IFERROR('01_Key Requirements &amp; Use Cases'!$F5,"")</f>
        <v/>
      </c>
      <c r="G6" s="74" t="n">
        <v>3</v>
      </c>
      <c r="H6" s="101" t="inlineStr">
        <is>
          <t>Fully supported. Mailbox-level backup with full mailbox or granular item restore via search - mail, contacts, calendar and tasks. 10-minute RPO across the full 2-year retention period; all deletions are captured. Restore lands in the same or a new folder in the user's mailbox and only re-instates modified/deleted items. Caveat: only 'versioned' events are recoverable (edits/deletions). Some changes are not versioned, e.g. edits to items in Drafts, flag changes, sensitivity/DNF changes.</t>
        </is>
      </c>
      <c r="I6" s="64" t="n"/>
      <c r="J6" s="65" t="n"/>
      <c r="K6" s="64" t="n"/>
      <c r="L6" s="65" t="n"/>
      <c r="M6" s="64" t="n"/>
      <c r="N6" s="65" t="n"/>
      <c r="O6" s="64" t="n"/>
      <c r="P6" s="65" t="n"/>
      <c r="Q6" s="64" t="n"/>
      <c r="R6" s="65" t="n"/>
    </row>
    <row r="7" ht="110" customHeight="1">
      <c r="B7" s="60">
        <f>IFERROR('01_Key Requirements &amp; Use Cases'!$B6,"")</f>
        <v/>
      </c>
      <c r="C7" s="61">
        <f>IFERROR('01_Key Requirements &amp; Use Cases'!$C6,"")</f>
        <v/>
      </c>
      <c r="D7" s="62">
        <f>IFERROR('01_Key Requirements &amp; Use Cases'!$D6,"")</f>
        <v/>
      </c>
      <c r="E7" s="8">
        <f>IFERROR('01_Key Requirements &amp; Use Cases'!$E6,"")</f>
        <v/>
      </c>
      <c r="F7" s="63">
        <f>IFERROR('01_Key Requirements &amp; Use Cases'!$F6,"")</f>
        <v/>
      </c>
      <c r="G7" s="74" t="n">
        <v>0</v>
      </c>
      <c r="H7" s="101" t="inlineStr">
        <is>
          <t>NOT supported. Microsoft 365 Backup covers SharePoint, OneDrive and Exchange Online only - Teams chat and channel messages are not protection units. Partial mitigation: Teams channel files live in SharePoint and chat files in OneDrive, so file content IS protected; and Teams chat/channel messages are compliance-retained in the substrate (backed by Exchange). Alternatives: (a) Purview retention policies for Teams chat/channel messages + eDiscovery export for recovery; (b) an ISV built on the Microsoft 365 Backup Storage platform (e.g. Veeam, Commvault, AvePoint) which adds Teams message backup on top of the same fast Microsoft backup fabric.</t>
        </is>
      </c>
      <c r="I7" s="64" t="n"/>
      <c r="J7" s="65" t="n"/>
      <c r="K7" s="64" t="n"/>
      <c r="L7" s="65" t="n"/>
      <c r="M7" s="64" t="n"/>
      <c r="N7" s="65" t="n"/>
      <c r="O7" s="64" t="n"/>
      <c r="P7" s="65" t="n"/>
      <c r="Q7" s="64" t="n"/>
      <c r="R7" s="65" t="n"/>
    </row>
    <row r="8" ht="110" customHeight="1">
      <c r="B8" s="60">
        <f>IFERROR('01_Key Requirements &amp; Use Cases'!$B7,"")</f>
        <v/>
      </c>
      <c r="C8" s="61">
        <f>IFERROR('01_Key Requirements &amp; Use Cases'!$C7,"")</f>
        <v/>
      </c>
      <c r="D8" s="62">
        <f>IFERROR('01_Key Requirements &amp; Use Cases'!$D7,"")</f>
        <v/>
      </c>
      <c r="E8" s="8">
        <f>IFERROR('01_Key Requirements &amp; Use Cases'!$E7,"")</f>
        <v/>
      </c>
      <c r="F8" s="63">
        <f>IFERROR('01_Key Requirements &amp; Use Cases'!$F7,"")</f>
        <v/>
      </c>
      <c r="G8" s="74" t="n">
        <v>0</v>
      </c>
      <c r="H8" s="101" t="inlineStr">
        <is>
          <t>NOT supported. Entra ID objects (users, groups, roles, CA policies, app registrations) are out of scope for Microsoft 365 Backup. Alternatives: (a) native Entra ID soft-delete / recycle bin - 30 days for users, groups and applications; (b) Microsoft Entra ID Governance + Entra Recovery/restore APIs and Graph-based config-as-code (e.g. exporting Conditional Access and role assignments to a Git repo); (c) a third-party Entra ID backup product (Veeam, Commvault, Quest On Demand Recovery) if item-level directory rollback is a hard requirement.</t>
        </is>
      </c>
      <c r="I8" s="64" t="n"/>
      <c r="J8" s="65" t="n"/>
      <c r="K8" s="64" t="n"/>
      <c r="L8" s="65" t="n"/>
      <c r="M8" s="64" t="n"/>
      <c r="N8" s="65" t="n"/>
      <c r="O8" s="64" t="n"/>
      <c r="P8" s="65" t="n"/>
      <c r="Q8" s="64" t="n"/>
      <c r="R8" s="65" t="n"/>
    </row>
    <row r="9" ht="110" customHeight="1">
      <c r="B9" s="60">
        <f>IFERROR('01_Key Requirements &amp; Use Cases'!$B8,"")</f>
        <v/>
      </c>
      <c r="C9" s="61">
        <f>IFERROR('01_Key Requirements &amp; Use Cases'!$C8,"")</f>
        <v/>
      </c>
      <c r="D9" s="62">
        <f>IFERROR('01_Key Requirements &amp; Use Cases'!$D8,"")</f>
        <v/>
      </c>
      <c r="E9" s="8">
        <f>IFERROR('01_Key Requirements &amp; Use Cases'!$E8,"")</f>
        <v/>
      </c>
      <c r="F9" s="63">
        <f>IFERROR('01_Key Requirements &amp; Use Cases'!$F8,"")</f>
        <v/>
      </c>
      <c r="G9" s="74" t="n">
        <v>0</v>
      </c>
      <c r="H9" s="101" t="inlineStr">
        <is>
          <t>NOT supported. By design, backup data never leaves the Microsoft 365 data trust boundary - only billing metadata (tenantID/siteID) goes to Azure. There is no capability to write a secondary copy to another CSP's storage or to customer-owned object storage. Alternative: run an ISV backup product (Veeam/Commvault/AvePoint/Rubrik) in parallel that writes to Azure Blob, AWS S3 or on-prem object storage for the second copy. Trade-off to make explicit with the customer: an out-of-boundary copy delivers CSP diversity but loses the in-boundary restore speed (Microsoft 365 Backup restores at up to ~2 TB/hr and 250 protection units/hr because it never moves data across the network).</t>
        </is>
      </c>
      <c r="I9" s="64" t="n"/>
      <c r="J9" s="65" t="n"/>
      <c r="K9" s="64" t="n"/>
      <c r="L9" s="65" t="n"/>
      <c r="M9" s="64" t="n"/>
      <c r="N9" s="65" t="n"/>
      <c r="O9" s="64" t="n"/>
      <c r="P9" s="65" t="n"/>
      <c r="Q9" s="64" t="n"/>
      <c r="R9" s="65" t="n"/>
    </row>
    <row r="10" ht="110" customHeight="1">
      <c r="B10" s="60">
        <f>IFERROR('01_Key Requirements &amp; Use Cases'!$B9,"")</f>
        <v/>
      </c>
      <c r="C10" s="61">
        <f>IFERROR('01_Key Requirements &amp; Use Cases'!$C9,"")</f>
        <v/>
      </c>
      <c r="D10" s="62">
        <f>IFERROR('01_Key Requirements &amp; Use Cases'!$D9,"")</f>
        <v/>
      </c>
      <c r="E10" s="8">
        <f>IFERROR('01_Key Requirements &amp; Use Cases'!$E9,"")</f>
        <v/>
      </c>
      <c r="F10" s="63">
        <f>IFERROR('01_Key Requirements &amp; Use Cases'!$F9,"")</f>
        <v/>
      </c>
      <c r="G10" s="74" t="n">
        <v>0</v>
      </c>
      <c r="H10" s="101" t="inlineStr">
        <is>
          <t>NOT supported at 7-10 years. Maximum retention is 2 years for SharePoint, OneDrive and Exchange. Important framing for the customer: backup and long-term compliance retention are different problems. Alternatives for the 7-10 year requirement: (a) Microsoft Purview retention policies and retention labels - supports multi-year to permanent retention with disposition review, and is the supported control for regulatory retention; (b) Exchange Online Archiving with auto-expanding archive; (c) an ISV backup product if the requirement is genuinely 10-year restorable *backup* rather than compliance retention. Recommended position: Microsoft 365 Backup for operational/ransomware recovery (0-2 years) + Purview for 7-10 year regulatory retention.</t>
        </is>
      </c>
      <c r="I10" s="64" t="n"/>
      <c r="J10" s="65" t="n"/>
      <c r="K10" s="64" t="n"/>
      <c r="L10" s="65" t="n"/>
      <c r="M10" s="64" t="n"/>
      <c r="N10" s="65" t="n"/>
      <c r="O10" s="64" t="n"/>
      <c r="P10" s="65" t="n"/>
      <c r="Q10" s="64" t="n"/>
      <c r="R10" s="65" t="n"/>
    </row>
    <row r="11" ht="110" customHeight="1">
      <c r="B11" s="60">
        <f>IFERROR('01_Key Requirements &amp; Use Cases'!$B10,"")</f>
        <v/>
      </c>
      <c r="C11" s="61">
        <f>IFERROR('01_Key Requirements &amp; Use Cases'!$C10,"")</f>
        <v/>
      </c>
      <c r="D11" s="62">
        <f>IFERROR('01_Key Requirements &amp; Use Cases'!$D10,"")</f>
        <v/>
      </c>
      <c r="E11" s="8">
        <f>IFERROR('01_Key Requirements &amp; Use Cases'!$E10,"")</f>
        <v/>
      </c>
      <c r="F11" s="63">
        <f>IFERROR('01_Key Requirements &amp; Use Cases'!$F10,"")</f>
        <v/>
      </c>
      <c r="G11" s="74" t="n">
        <v>2</v>
      </c>
      <c r="H11" s="101" t="inlineStr">
        <is>
          <t>Supported via Entra ID role-based access control. Dedicated least-privilege role 'Microsoft 365 Backup Administrator' controls the whole tool; Global Administrator covers all three workloads; SharePoint Administrator covers SharePoint/OneDrive; Exchange Administrator covers Exchange. Okta is not natively integrated - it is supported indirectly where Okta is federated to Entra ID as the identity provider, but authorisation still resolves to Entra ID roles. If AIA's IAM standard requires Okta-native RBAC group mapping, that must be achieved through Okta-to-Entra provisioning/federation.</t>
        </is>
      </c>
      <c r="I11" s="64" t="n"/>
      <c r="J11" s="65" t="n"/>
      <c r="K11" s="64" t="n"/>
      <c r="L11" s="65" t="n"/>
      <c r="M11" s="64" t="n"/>
      <c r="N11" s="65" t="n"/>
      <c r="O11" s="64" t="n"/>
      <c r="P11" s="32" t="n"/>
      <c r="Q11" s="64" t="n"/>
      <c r="R11" s="65" t="n"/>
    </row>
    <row r="12" ht="110" customHeight="1">
      <c r="B12" s="60">
        <f>IFERROR('01_Key Requirements &amp; Use Cases'!$B11,"")</f>
        <v/>
      </c>
      <c r="C12" s="61">
        <f>IFERROR('01_Key Requirements &amp; Use Cases'!$C11,"")</f>
        <v/>
      </c>
      <c r="D12" s="62">
        <f>IFERROR('01_Key Requirements &amp; Use Cases'!$D11,"")</f>
        <v/>
      </c>
      <c r="E12" s="8">
        <f>IFERROR('01_Key Requirements &amp; Use Cases'!$E11,"")</f>
        <v/>
      </c>
      <c r="F12" s="63">
        <f>IFERROR('01_Key Requirements &amp; Use Cases'!$F11,"")</f>
        <v/>
      </c>
      <c r="G12" s="74" t="n">
        <v>2</v>
      </c>
      <c r="H12" s="101" t="inlineStr">
        <is>
          <t>Partially supported - not a setting inside the Backup tool. The console is the Microsoft 365 admin center, so session control is enforced at the identity layer: Entra ID Conditional Access sign-in frequency (can be set to a specific number of hours/minutes) and the Microsoft 365 idle session sign-out policy. Recommend validating that the exact 15-30 minute idle target can be met with the customer's Conditional Access configuration during PoC.</t>
        </is>
      </c>
      <c r="I12" s="64" t="n"/>
      <c r="J12" s="65" t="n"/>
      <c r="K12" s="64" t="n"/>
      <c r="L12" s="65" t="n"/>
      <c r="M12" s="64" t="n"/>
      <c r="N12" s="65" t="n"/>
      <c r="O12" s="64" t="n"/>
      <c r="P12" s="65" t="n"/>
      <c r="Q12" s="64" t="n"/>
      <c r="R12" s="65" t="n"/>
    </row>
    <row r="13" ht="110" customHeight="1">
      <c r="B13" s="60">
        <f>IFERROR('01_Key Requirements &amp; Use Cases'!$B12,"")</f>
        <v/>
      </c>
      <c r="C13" s="61">
        <f>IFERROR('01_Key Requirements &amp; Use Cases'!$C12,"")</f>
        <v/>
      </c>
      <c r="D13" s="62">
        <f>IFERROR('01_Key Requirements &amp; Use Cases'!$D12,"")</f>
        <v/>
      </c>
      <c r="E13" s="8">
        <f>IFERROR('01_Key Requirements &amp; Use Cases'!$E12,"")</f>
        <v/>
      </c>
      <c r="F13" s="63">
        <f>IFERROR('01_Key Requirements &amp; Use Cases'!$F12,"")</f>
        <v/>
      </c>
      <c r="G13" s="74" t="n">
        <v>1</v>
      </c>
      <c r="H13" s="101" t="inlineStr">
        <is>
          <t>Partially - the intent (storage cost optimisation) is met, but not through customer-managed tiers. Microsoft 365 Backup has no customer-managed storage tiers - it is a flat consumption price of USD 0.15 per GB per month of protected data, with restores free. There is no hot/cool/archive tier to tune. Related but separate product: Microsoft 365 Archive lets you move cold SharePoint sites to a lower-cost tier while keeping them in place. Note the requirement's intent (storage cost optimisation) is partly met by the fact that Microsoft manages the storage efficiency and restores are not charged.</t>
        </is>
      </c>
      <c r="I13" s="64" t="n"/>
      <c r="J13" s="65" t="n"/>
      <c r="K13" s="64" t="n"/>
      <c r="L13" s="65" t="n"/>
      <c r="M13" s="64" t="n"/>
      <c r="N13" s="65" t="n"/>
      <c r="O13" s="64" t="n"/>
      <c r="P13" s="65" t="n"/>
      <c r="Q13" s="64" t="n"/>
      <c r="R13" s="65" t="n"/>
    </row>
    <row r="14" ht="110" customHeight="1">
      <c r="B14" s="60">
        <f>IFERROR('01_Key Requirements &amp; Use Cases'!$B13,"")</f>
        <v/>
      </c>
      <c r="C14" s="61">
        <f>IFERROR('01_Key Requirements &amp; Use Cases'!$C13,"")</f>
        <v/>
      </c>
      <c r="D14" s="62">
        <f>IFERROR('01_Key Requirements &amp; Use Cases'!$D13,"")</f>
        <v/>
      </c>
      <c r="E14" s="8">
        <f>IFERROR('01_Key Requirements &amp; Use Cases'!$E13,"")</f>
        <v/>
      </c>
      <c r="F14" s="63">
        <f>IFERROR('01_Key Requirements &amp; Use Cases'!$F13,"")</f>
        <v/>
      </c>
      <c r="G14" s="74" t="n">
        <v>1</v>
      </c>
      <c r="H14" s="101" t="inlineStr">
        <is>
          <t>No customer-visible or customer-configurable deduplication. Storage efficiency is handled internally - backups are change-based/incremental and stored on append-only blob storage built on the SharePoint/OneDrive and Exchange infrastructure, so unchanged content is not re-stored. However you cannot report on, or tune, a dedup ratio, and billing is on the volume of protected data rather than on stored backup data.</t>
        </is>
      </c>
      <c r="I14" s="64" t="n"/>
      <c r="J14" s="65" t="n"/>
      <c r="K14" s="64" t="n"/>
      <c r="L14" s="65" t="n"/>
      <c r="M14" s="64" t="n"/>
      <c r="N14" s="65" t="n"/>
      <c r="O14" s="64" t="n"/>
      <c r="P14" s="65" t="n"/>
      <c r="Q14" s="64" t="n"/>
      <c r="R14" s="65" t="n"/>
    </row>
    <row r="15" ht="110" customHeight="1">
      <c r="B15" s="60">
        <f>IFERROR('01_Key Requirements &amp; Use Cases'!$B14,"")</f>
        <v/>
      </c>
      <c r="C15" s="61">
        <f>IFERROR('01_Key Requirements &amp; Use Cases'!$C14,"")</f>
        <v/>
      </c>
      <c r="D15" s="62">
        <f>IFERROR('01_Key Requirements &amp; Use Cases'!$D14,"")</f>
        <v/>
      </c>
      <c r="E15" s="8">
        <f>IFERROR('01_Key Requirements &amp; Use Cases'!$E14,"")</f>
        <v/>
      </c>
      <c r="F15" s="63">
        <f>IFERROR('01_Key Requirements &amp; Use Cases'!$F14,"")</f>
        <v/>
      </c>
      <c r="G15" s="74" t="n">
        <v>3</v>
      </c>
      <c r="H15" s="101" t="inlineStr">
        <is>
          <t>Fully supported as SaaS - first-party Microsoft service, no infrastructure, agents or connectors to deploy or patch. One nuance vs. the requirement wording: commercial model is pay-as-you-go consumption billed through an Azure subscription (USD 0.15/GB/month), not a per-user subscription licence. Departmental billing across multiple Azure subscriptions is supported if AIA needs cost split by business unit.</t>
        </is>
      </c>
      <c r="I15" s="64" t="n"/>
      <c r="J15" s="65" t="n"/>
      <c r="K15" s="64" t="n"/>
      <c r="L15" s="65" t="n"/>
      <c r="M15" s="64" t="n"/>
      <c r="N15" s="65" t="n"/>
      <c r="O15" s="64" t="n"/>
      <c r="P15" s="65" t="n"/>
      <c r="Q15" s="64" t="n"/>
      <c r="R15" s="65" t="n"/>
    </row>
    <row r="16" ht="110" customHeight="1">
      <c r="B16" s="60">
        <f>IFERROR('01_Key Requirements &amp; Use Cases'!$B15,"")</f>
        <v/>
      </c>
      <c r="C16" s="61">
        <f>IFERROR('01_Key Requirements &amp; Use Cases'!$C15,"")</f>
        <v/>
      </c>
      <c r="D16" s="62">
        <f>IFERROR('01_Key Requirements &amp; Use Cases'!$D15,"")</f>
        <v/>
      </c>
      <c r="E16" s="8">
        <f>IFERROR('01_Key Requirements &amp; Use Cases'!$E15,"")</f>
        <v/>
      </c>
      <c r="F16" s="63">
        <f>IFERROR('01_Key Requirements &amp; Use Cases'!$F15,"")</f>
        <v/>
      </c>
      <c r="G16" s="74" t="n">
        <v>3</v>
      </c>
      <c r="H16" s="101" t="inlineStr">
        <is>
          <t>Fully supported and exceeds the requirement. 10-minute RPO - changes are captured as a new version every 10 minutes for SharePoint/OneDrive (trailing 2 weeks, then weekly restore points out to the 2-year retention period) and for Exchange (across the full 2-year retention period). All deletions are captured regardless of frequency. This is materially better than the typical ISV 1-4 backups per day.</t>
        </is>
      </c>
      <c r="I16" s="64" t="n"/>
      <c r="J16" s="65" t="n"/>
      <c r="K16" s="64" t="n"/>
      <c r="L16" s="65" t="n"/>
      <c r="M16" s="64" t="n"/>
      <c r="N16" s="65" t="n"/>
      <c r="O16" s="64" t="n"/>
      <c r="P16" s="65" t="n"/>
      <c r="Q16" s="64" t="n"/>
      <c r="R16" s="65" t="n"/>
    </row>
    <row r="17" ht="110" customHeight="1">
      <c r="B17" s="60">
        <f>IFERROR('01_Key Requirements &amp; Use Cases'!$B16,"")</f>
        <v/>
      </c>
      <c r="C17" s="61">
        <f>IFERROR('01_Key Requirements &amp; Use Cases'!$C16,"")</f>
        <v/>
      </c>
      <c r="D17" s="62">
        <f>IFERROR('01_Key Requirements &amp; Use Cases'!$D16,"")</f>
        <v/>
      </c>
      <c r="E17" s="8">
        <f>IFERROR('01_Key Requirements &amp; Use Cases'!$E16,"")</f>
        <v/>
      </c>
      <c r="F17" s="63">
        <f>IFERROR('01_Key Requirements &amp; Use Cases'!$F16,"")</f>
        <v/>
      </c>
      <c r="G17" s="74" t="n">
        <v>2</v>
      </c>
      <c r="H17" s="101" t="inlineStr">
        <is>
          <t>Partially - append-only rather than formally immutable (WORM). Backup data cannot be altered, overwritten or encrypted by a service or malware process because it is stored on append-only blobs; Purview retention or deletion policies cannot affect backup retention. Deletion is deliberately NOT blocked, so customers retain a GDPR/offboarding path. Compensating controls: a fixed 90-day recovery grace period after offboarding (backup 'recycle bin'), and multi-admin email notification for potentially harmful actions (disabling backup, removing protection units, offboarding, transferring controller). If the customer's control requires a legally-enforced WORM lock that no admin can override, that gap must be documented and accepted or covered by an ISV with immutable object storage.</t>
        </is>
      </c>
      <c r="I17" s="64" t="n"/>
      <c r="J17" s="65" t="n"/>
      <c r="K17" s="64" t="n"/>
      <c r="L17" s="65" t="n"/>
      <c r="M17" s="64" t="n"/>
      <c r="N17" s="65" t="n"/>
      <c r="O17" s="64" t="n"/>
      <c r="P17" s="65" t="n"/>
      <c r="Q17" s="64" t="n"/>
      <c r="R17" s="65" t="n"/>
    </row>
    <row r="18" ht="110" customHeight="1">
      <c r="B18" s="60">
        <f>IFERROR('01_Key Requirements &amp; Use Cases'!$B17,"")</f>
        <v/>
      </c>
      <c r="C18" s="61">
        <f>IFERROR('01_Key Requirements &amp; Use Cases'!$C17,"")</f>
        <v/>
      </c>
      <c r="D18" s="62">
        <f>IFERROR('01_Key Requirements &amp; Use Cases'!$D17,"")</f>
        <v/>
      </c>
      <c r="E18" s="8">
        <f>IFERROR('01_Key Requirements &amp; Use Cases'!$E17,"")</f>
        <v/>
      </c>
      <c r="F18" s="63">
        <f>IFERROR('01_Key Requirements &amp; Use Cases'!$F17,"")</f>
        <v/>
      </c>
      <c r="G18" s="74" t="n">
        <v>3</v>
      </c>
      <c r="H18" s="101" t="inlineStr">
        <is>
          <t>Strongest differentiator. Native first-party service - backups are created inside the workload's own data boundary, so there is no API throttling, no export egress, no connector accounts and no separate consent model. Managed from the Microsoft 365 admin center, with Graph APIs and PowerShell cmdlets for automation. It also underpins the Microsoft 365 Backup Storage platform used by Veeam/Commvault/AvePoint, so an ISV choice can still ride the same native fabric.</t>
        </is>
      </c>
      <c r="I18" s="64" t="n"/>
      <c r="J18" s="65" t="n"/>
      <c r="K18" s="64" t="n"/>
      <c r="L18" s="65" t="n"/>
      <c r="M18" s="64" t="n"/>
      <c r="N18" s="65" t="n"/>
      <c r="O18" s="64" t="n"/>
      <c r="P18" s="65" t="n"/>
      <c r="Q18" s="64" t="n"/>
      <c r="R18" s="65" t="n"/>
    </row>
    <row r="19" ht="110" customHeight="1">
      <c r="B19" s="60">
        <f>IFERROR('01_Key Requirements &amp; Use Cases'!$B18,"")</f>
        <v/>
      </c>
      <c r="C19" s="61">
        <f>IFERROR('01_Key Requirements &amp; Use Cases'!$C18,"")</f>
        <v/>
      </c>
      <c r="D19" s="62">
        <f>IFERROR('01_Key Requirements &amp; Use Cases'!$D18,"")</f>
        <v/>
      </c>
      <c r="E19" s="8">
        <f>IFERROR('01_Key Requirements &amp; Use Cases'!$E18,"")</f>
        <v/>
      </c>
      <c r="F19" s="63">
        <f>IFERROR('01_Key Requirements &amp; Use Cases'!$F18,"")</f>
        <v/>
      </c>
      <c r="G19" s="74" t="n">
        <v>1</v>
      </c>
      <c r="H19" s="101" t="inlineStr">
        <is>
          <t>No end-user self-service restore in the Backup tool - only tenant-level admins (Global, SharePoint, Exchange or Microsoft 365 Backup Administrator) can run backups and restores. End users cannot restore their own account or site from Backup. Alternatives already available natively: OneDrive 'Restore your OneDrive' (30-day self-service rollback), SharePoint/OneDrive version history, first- and second-stage recycle bin (93 days), and Outlook Recover Deleted Items. If a true self-service restore portal is required, ISVs built on the Microsoft 365 Backup Storage platform expose delegated end-user restore portals.</t>
        </is>
      </c>
      <c r="I19" s="64" t="n"/>
      <c r="J19" s="65" t="n"/>
      <c r="K19" s="64" t="n"/>
      <c r="L19" s="65" t="n"/>
      <c r="M19" s="64" t="n"/>
      <c r="N19" s="65" t="n"/>
      <c r="O19" s="64" t="n"/>
      <c r="P19" s="65" t="n"/>
      <c r="Q19" s="64" t="n"/>
      <c r="R19" s="65" t="n"/>
    </row>
    <row r="20" ht="110" customHeight="1">
      <c r="B20" s="60">
        <f>IFERROR('01_Key Requirements &amp; Use Cases'!$B19,"")</f>
        <v/>
      </c>
      <c r="C20" s="61">
        <f>IFERROR('01_Key Requirements &amp; Use Cases'!$C19,"")</f>
        <v/>
      </c>
      <c r="D20" s="62">
        <f>IFERROR('01_Key Requirements &amp; Use Cases'!$D19,"")</f>
        <v/>
      </c>
      <c r="E20" s="8">
        <f>IFERROR('01_Key Requirements &amp; Use Cases'!$E19,"")</f>
        <v/>
      </c>
      <c r="F20" s="63">
        <f>IFERROR('01_Key Requirements &amp; Use Cases'!$F19,"")</f>
        <v/>
      </c>
      <c r="G20" s="74" t="n">
        <v>2</v>
      </c>
      <c r="H20" s="101" t="inlineStr">
        <is>
          <t>Supported. Items subject to Microsoft Purview retention policies or litigation hold remain available to Microsoft 365 Backup and can be recovered from backup restore points. Backup retention operates independently of Purview retention and deletion controls, providing a complementary operational-recovery layer for retained or held content.</t>
        </is>
      </c>
      <c r="I20" s="64" t="n"/>
      <c r="J20" s="65" t="n"/>
      <c r="K20" s="64" t="n"/>
      <c r="L20" s="65" t="n"/>
      <c r="M20" s="64" t="n"/>
      <c r="N20" s="65" t="n"/>
      <c r="O20" s="64" t="n"/>
      <c r="P20" s="65" t="n"/>
      <c r="Q20" s="64" t="n"/>
      <c r="R20" s="65" t="n"/>
    </row>
    <row r="21" ht="110" customHeight="1">
      <c r="B21" s="60">
        <f>IFERROR('01_Key Requirements &amp; Use Cases'!$B20,"")</f>
        <v/>
      </c>
      <c r="C21" s="61">
        <f>IFERROR('01_Key Requirements &amp; Use Cases'!$C20,"")</f>
        <v/>
      </c>
      <c r="D21" s="62">
        <f>IFERROR('01_Key Requirements &amp; Use Cases'!$D20,"")</f>
        <v/>
      </c>
      <c r="E21" s="8">
        <f>IFERROR('01_Key Requirements &amp; Use Cases'!$E20,"")</f>
        <v/>
      </c>
      <c r="F21" s="63">
        <f>IFERROR('01_Key Requirements &amp; Use Cases'!$F20,"")</f>
        <v/>
      </c>
      <c r="G21" s="74" t="n">
        <v>3</v>
      </c>
      <c r="H21" s="101" t="inlineStr">
        <is>
          <t>Supported. SharePoint sites stored in Microsoft 365 Archive can be protected by Microsoft 365 Backup. The archived site can remain covered by the backup policy, with restore points available in line with the SharePoint backup retention model. Confirm the exact restore workflow during the PoC, including whether the site must be reactivated before content can be restored.</t>
        </is>
      </c>
      <c r="I21" s="64" t="n"/>
      <c r="J21" s="65" t="n"/>
      <c r="K21" s="64" t="n"/>
      <c r="L21" s="65" t="n"/>
      <c r="M21" s="64" t="n"/>
      <c r="N21" s="65" t="n"/>
      <c r="O21" s="64" t="n"/>
      <c r="P21" s="65" t="n"/>
      <c r="Q21" s="64" t="n"/>
      <c r="R21" s="65" t="n"/>
    </row>
    <row r="22" ht="110" customHeight="1">
      <c r="B22" s="60">
        <f>IFERROR('01_Key Requirements &amp; Use Cases'!$B21,"")</f>
        <v/>
      </c>
      <c r="C22" s="61">
        <f>IFERROR('01_Key Requirements &amp; Use Cases'!$C21,"")</f>
        <v/>
      </c>
      <c r="D22" s="62">
        <f>IFERROR('01_Key Requirements &amp; Use Cases'!$D21,"")</f>
        <v/>
      </c>
      <c r="E22" s="8">
        <f>IFERROR('01_Key Requirements &amp; Use Cases'!$E21,"")</f>
        <v/>
      </c>
      <c r="F22" s="63">
        <f>IFERROR('01_Key Requirements &amp; Use Cases'!$F21,"")</f>
        <v/>
      </c>
      <c r="G22" s="74" t="n">
        <v>3</v>
      </c>
      <c r="H22" s="101" t="inlineStr">
        <is>
          <t>Fully supported by inheritance. Backup data resides in SharePoint/OneDrive and Exchange Online storage and inherits Microsoft 365 encryption - AES-256 BitLocker plus per-file encryption at rest, and TLS 1.2+ in transit. Because data never leaves the Microsoft 365 trust boundary there is no additional egress path to secure. Customer Key (BYOK via Azure Key Vault) applies to the underlying workloads.</t>
        </is>
      </c>
      <c r="I22" s="64" t="n"/>
      <c r="J22" s="65" t="n"/>
      <c r="K22" s="64" t="n"/>
      <c r="L22" s="65" t="n"/>
      <c r="M22" s="64" t="n"/>
      <c r="N22" s="65" t="n"/>
      <c r="O22" s="64" t="n"/>
      <c r="P22" s="65" t="n"/>
      <c r="Q22" s="64" t="n"/>
      <c r="R22" s="65" t="n"/>
    </row>
    <row r="23" ht="110" customHeight="1">
      <c r="B23" s="60">
        <f>IFERROR('01_Key Requirements &amp; Use Cases'!$B22,"")</f>
        <v/>
      </c>
      <c r="C23" s="61">
        <f>IFERROR('01_Key Requirements &amp; Use Cases'!$C22,"")</f>
        <v/>
      </c>
      <c r="D23" s="62">
        <f>IFERROR('01_Key Requirements &amp; Use Cases'!$D22,"")</f>
        <v/>
      </c>
      <c r="E23" s="8">
        <f>IFERROR('01_Key Requirements &amp; Use Cases'!$E22,"")</f>
        <v/>
      </c>
      <c r="F23" s="63">
        <f>IFERROR('01_Key Requirements &amp; Use Cases'!$F22,"")</f>
        <v/>
      </c>
      <c r="G23" s="74" t="n">
        <v>3</v>
      </c>
      <c r="H23" s="101" t="inlineStr">
        <is>
          <t>Fully supported. Access to the Microsoft 365 admin center and the Backup tool is authenticated by Entra ID, so MFA, phishing-resistant MFA, and Conditional Access (device compliance, named locations, PIM just-in-time elevation of the Microsoft 365 Backup Administrator role) all apply. Recommend requiring PIM + phishing-resistant MFA on the Backup Administrator role.</t>
        </is>
      </c>
      <c r="I23" s="64" t="n"/>
      <c r="J23" s="65" t="n"/>
      <c r="K23" s="64" t="n"/>
      <c r="L23" s="65" t="n"/>
      <c r="M23" s="64" t="n"/>
      <c r="N23" s="65" t="n"/>
      <c r="O23" s="64" t="n"/>
      <c r="P23" s="65" t="n"/>
      <c r="Q23" s="64" t="n"/>
      <c r="R23" s="65" t="n"/>
    </row>
    <row r="24" ht="110" customHeight="1">
      <c r="B24" s="60">
        <f>IFERROR('01_Key Requirements &amp; Use Cases'!$B23,"")</f>
        <v/>
      </c>
      <c r="C24" s="61">
        <f>IFERROR('01_Key Requirements &amp; Use Cases'!$C23,"")</f>
        <v/>
      </c>
      <c r="D24" s="62">
        <f>IFERROR('01_Key Requirements &amp; Use Cases'!$D23,"")</f>
        <v/>
      </c>
      <c r="E24" s="8">
        <f>IFERROR('01_Key Requirements &amp; Use Cases'!$E23,"")</f>
        <v/>
      </c>
      <c r="F24" s="63">
        <f>IFERROR('01_Key Requirements &amp; Use Cases'!$F23,"")</f>
        <v/>
      </c>
      <c r="G24" s="74" t="n">
        <v>2</v>
      </c>
      <c r="H24" s="101" t="inlineStr">
        <is>
          <t>Partially. There is no storage cap - capacity is effectively unlimited and billed per GB protected. Departed/unlicensed users: when a user is removed from the backup policy or deleted from Entra ID, the OneDrive and mailbox backups are retained for 2 years from the date each backup was created, and hard-deleted mailboxes are retained as inactive mailboxes while the policy remains in effect. Removed SharePoint sites are held for the full backup retention period from restore point creation. Gap: retention still tops out at 2 years, and protected data continues to accrue cost - so this is 'unlimited capacity', not 'free' or 'indefinite'.</t>
        </is>
      </c>
      <c r="I24" s="64" t="n"/>
      <c r="J24" s="65" t="n"/>
      <c r="K24" s="64" t="n"/>
      <c r="L24" s="65" t="n"/>
      <c r="M24" s="64" t="n"/>
      <c r="N24" s="65" t="n"/>
      <c r="O24" s="64" t="n"/>
      <c r="P24" s="65" t="n"/>
      <c r="Q24" s="64" t="n"/>
      <c r="R24" s="65" t="n"/>
    </row>
    <row r="25" ht="110" customHeight="1">
      <c r="B25" s="60">
        <f>IFERROR('01_Key Requirements &amp; Use Cases'!$B24,"")</f>
        <v/>
      </c>
      <c r="C25" s="61">
        <f>IFERROR('01_Key Requirements &amp; Use Cases'!$C24,"")</f>
        <v/>
      </c>
      <c r="D25" s="62">
        <f>IFERROR('01_Key Requirements &amp; Use Cases'!$D24,"")</f>
        <v/>
      </c>
      <c r="E25" s="8">
        <f>IFERROR('01_Key Requirements &amp; Use Cases'!$E24,"")</f>
        <v/>
      </c>
      <c r="F25" s="63">
        <f>IFERROR('01_Key Requirements &amp; Use Cases'!$F24,"")</f>
        <v/>
      </c>
      <c r="G25" s="74" t="n">
        <v>3</v>
      </c>
      <c r="H25" s="101" t="inlineStr">
        <is>
          <t>Strongly supported. Designed exactly for mass ransomware/deletion recovery: in-place bulk restore, 'express' restore points for fastest rollback, and search-based granular Exchange item restore. Published median performance: 1 site/OneDrive in ~30 min; 250 units in ~4 hrs; 1,000+ units at up to 250 protection units/hour and up to ~2 TB/hour; Exchange at roughly 100-500 items/mailbox/minute. Restores are free of charge. Partial gap: there is no side-by-side 'compare' feature between a restore point and live data - that is an ISV differentiator.</t>
        </is>
      </c>
      <c r="I25" s="64" t="n"/>
      <c r="J25" s="65" t="n"/>
      <c r="K25" s="64" t="n"/>
      <c r="L25" s="65" t="n"/>
      <c r="M25" s="64" t="n"/>
      <c r="N25" s="65" t="n"/>
      <c r="O25" s="64" t="n"/>
      <c r="P25" s="65" t="n"/>
      <c r="Q25" s="64" t="n"/>
      <c r="R25" s="65" t="n"/>
    </row>
    <row r="26" ht="110" customHeight="1">
      <c r="B26" s="60">
        <f>IFERROR('01_Key Requirements &amp; Use Cases'!$B25,"")</f>
        <v/>
      </c>
      <c r="C26" s="61">
        <f>IFERROR('01_Key Requirements &amp; Use Cases'!$C25,"")</f>
        <v/>
      </c>
      <c r="D26" s="62">
        <f>IFERROR('01_Key Requirements &amp; Use Cases'!$D25,"")</f>
        <v/>
      </c>
      <c r="E26" s="8">
        <f>IFERROR('01_Key Requirements &amp; Use Cases'!$E25,"")</f>
        <v/>
      </c>
      <c r="F26" s="63">
        <f>IFERROR('01_Key Requirements &amp; Use Cases'!$F25,"")</f>
        <v/>
      </c>
      <c r="G26" s="74" t="n">
        <v>2</v>
      </c>
      <c r="H26" s="101" t="inlineStr">
        <is>
          <t>Supported at an operational level. Microsoft 365 admin center provides backup and restore job status, policy and protection-unit views, and consumption/billing reporting; Graph APIs and PowerShell enable custom reporting. Multi-admin email notifications deliver a daily digest for potentially harmful events (backup disabled, protection units removed, offboarding, controller transfer, policy paused) and, optionally, routine events (policy changes, restores). Gap vs. a mature ISV: no built-in scheduled compliance reports, no custom report designer, and 10-minute RPO jobs are not included in notification events - plan on Graph API + Power BI if AIA needs formal compliance reporting.</t>
        </is>
      </c>
      <c r="I26" s="64" t="n"/>
      <c r="J26" s="65" t="n"/>
      <c r="K26" s="64" t="n"/>
      <c r="L26" s="65" t="n"/>
      <c r="M26" s="64" t="n"/>
      <c r="N26" s="65" t="n"/>
      <c r="O26" s="64" t="n"/>
      <c r="P26" s="65" t="n"/>
      <c r="Q26" s="64" t="n"/>
      <c r="R26" s="65" t="n"/>
    </row>
    <row r="27" ht="110" customHeight="1">
      <c r="B27" s="60">
        <f>IFERROR('01_Key Requirements &amp; Use Cases'!$B26,"")</f>
        <v/>
      </c>
      <c r="C27" s="61">
        <f>IFERROR('01_Key Requirements &amp; Use Cases'!$C26,"")</f>
        <v/>
      </c>
      <c r="D27" s="62">
        <f>IFERROR('01_Key Requirements &amp; Use Cases'!$D26,"")</f>
        <v/>
      </c>
      <c r="E27" s="8">
        <f>IFERROR('01_Key Requirements &amp; Use Cases'!$E26,"")</f>
        <v/>
      </c>
      <c r="F27" s="63">
        <f>IFERROR('01_Key Requirements &amp; Use Cases'!$F26,"")</f>
        <v/>
      </c>
      <c r="G27" s="74" t="n">
        <v>3</v>
      </c>
      <c r="H27" s="101" t="inlineStr">
        <is>
          <t>Fully supported. All backup and restore actions are fully auditable and surface in the Purview unified audit log, which can be exported to Microsoft Sentinel or a third-party SIEM for retention and correlation. Graph APIs are available for programmatic retrieval.</t>
        </is>
      </c>
      <c r="I27" s="64" t="n"/>
      <c r="J27" s="65" t="n"/>
      <c r="K27" s="64" t="n"/>
      <c r="L27" s="65" t="n"/>
      <c r="M27" s="64" t="n"/>
      <c r="N27" s="65" t="n"/>
      <c r="O27" s="64" t="n"/>
      <c r="P27" s="65" t="n"/>
      <c r="Q27" s="64" t="n"/>
      <c r="R27" s="65" t="n"/>
    </row>
    <row r="28" ht="110" customHeight="1">
      <c r="B28" s="60">
        <f>IFERROR('01_Key Requirements &amp; Use Cases'!$B27,"")</f>
        <v/>
      </c>
      <c r="C28" s="61">
        <f>IFERROR('01_Key Requirements &amp; Use Cases'!$C27,"")</f>
        <v/>
      </c>
      <c r="D28" s="62">
        <f>IFERROR('01_Key Requirements &amp; Use Cases'!$D27,"")</f>
        <v/>
      </c>
      <c r="E28" s="8">
        <f>IFERROR('01_Key Requirements &amp; Use Cases'!$E27,"")</f>
        <v/>
      </c>
      <c r="F28" s="63">
        <f>IFERROR('01_Key Requirements &amp; Use Cases'!$F27,"")</f>
        <v/>
      </c>
      <c r="G28" s="74" t="n">
        <v>3</v>
      </c>
      <c r="H28" s="101" t="inlineStr">
        <is>
          <t xml:space="preserve">Microsoft 365 Backup supports restoring sites and user accounts from both central and satellite locations if the multi-geo feature is enabled on your tenant. </t>
        </is>
      </c>
      <c r="I28" s="64" t="n"/>
      <c r="J28" s="65" t="n"/>
      <c r="K28" s="64" t="n"/>
      <c r="L28" s="65" t="n"/>
      <c r="M28" s="64" t="n"/>
      <c r="N28" s="65" t="n"/>
      <c r="O28" s="64" t="n"/>
      <c r="P28" s="65" t="n"/>
      <c r="Q28" s="64" t="n"/>
      <c r="R28" s="65" t="n"/>
    </row>
    <row r="29" ht="110" customHeight="1">
      <c r="B29" s="60">
        <f>IFERROR('01_Key Requirements &amp; Use Cases'!$B28,"")</f>
        <v/>
      </c>
      <c r="C29" s="61">
        <f>IFERROR('01_Key Requirements &amp; Use Cases'!$C28,"")</f>
        <v/>
      </c>
      <c r="D29" s="62">
        <f>IFERROR('01_Key Requirements &amp; Use Cases'!$D28,"")</f>
        <v/>
      </c>
      <c r="E29" s="8">
        <f>IFERROR('01_Key Requirements &amp; Use Cases'!$E28,"")</f>
        <v/>
      </c>
      <c r="F29" s="63">
        <f>IFERROR('01_Key Requirements &amp; Use Cases'!$F28,"")</f>
        <v/>
      </c>
      <c r="G29" s="74" t="n">
        <v>3</v>
      </c>
      <c r="H29" s="101" t="inlineStr">
        <is>
          <t>Fully supported and inherited from the workload. Backups are physically redundant and geographically replicated, and the underlying SharePoint/OneDrive and Exchange architectures maintain replicated live copies with automatic failover requiring no customer intervention. Note the distinction to draw for the customer: geo-replication protects against physical/site disaster; the backup restore points are what protect against ransomware and deletion. Microsoft 365 Backup provides both layers.</t>
        </is>
      </c>
      <c r="I29" s="64" t="n"/>
      <c r="J29" s="65" t="n"/>
      <c r="K29" s="64" t="n"/>
      <c r="L29" s="65" t="n"/>
      <c r="M29" s="64" t="n"/>
      <c r="N29" s="65" t="n"/>
      <c r="O29" s="64" t="n"/>
      <c r="P29" s="65" t="n"/>
      <c r="Q29" s="64" t="n"/>
      <c r="R29" s="65" t="n"/>
    </row>
    <row r="30" ht="110" customHeight="1">
      <c r="B30" s="60">
        <f>IFERROR('01_Key Requirements &amp; Use Cases'!$B29,"")</f>
        <v/>
      </c>
      <c r="C30" s="61">
        <f>IFERROR('01_Key Requirements &amp; Use Cases'!$C29,"")</f>
        <v/>
      </c>
      <c r="D30" s="62">
        <f>IFERROR('01_Key Requirements &amp; Use Cases'!$D29,"")</f>
        <v/>
      </c>
      <c r="E30" s="8">
        <f>IFERROR('01_Key Requirements &amp; Use Cases'!$E29,"")</f>
        <v/>
      </c>
      <c r="F30" s="63">
        <f>IFERROR('01_Key Requirements &amp; Use Cases'!$F29,"")</f>
        <v/>
      </c>
      <c r="G30" s="74" t="n">
        <v>3</v>
      </c>
      <c r="H30" s="101" t="inlineStr">
        <is>
          <t>Largely supported. Backups honour the tenant's existing data residency - data never leaves the Microsoft 365 data trust boundary or its geographic location - and Multi-Geo is supported, backing up sites and accounts in both central and satellite locations. So AU, KR and TW business units are covered where those Multi-Geo locations are enabled. Specific item to validate: China. Microsoft 365 operated by 21Vianet is a separate sovereign cloud, and service availability there must be confirmed separately - do not assume parity. GCC is supported if any US-government-adjacent entity is in scope.</t>
        </is>
      </c>
      <c r="I30" s="64" t="n"/>
      <c r="J30" s="65" t="n"/>
      <c r="K30" s="64" t="n"/>
      <c r="L30" s="65" t="n"/>
      <c r="M30" s="64" t="n"/>
      <c r="N30" s="65" t="n"/>
      <c r="O30" s="64" t="n"/>
      <c r="P30" s="65" t="n"/>
      <c r="Q30" s="64" t="n"/>
      <c r="R30" s="65" t="n"/>
    </row>
    <row r="31" ht="110" customHeight="1">
      <c r="B31" s="60">
        <f>IFERROR('01_Key Requirements &amp; Use Cases'!$B30,"")</f>
        <v/>
      </c>
      <c r="C31" s="61">
        <f>IFERROR('01_Key Requirements &amp; Use Cases'!$C30,"")</f>
        <v/>
      </c>
      <c r="D31" s="62">
        <f>IFERROR('01_Key Requirements &amp; Use Cases'!$D30,"")</f>
        <v/>
      </c>
      <c r="E31" s="8">
        <f>IFERROR('01_Key Requirements &amp; Use Cases'!$E30,"")</f>
        <v/>
      </c>
      <c r="F31" s="63">
        <f>IFERROR('01_Key Requirements &amp; Use Cases'!$F30,"")</f>
        <v/>
      </c>
      <c r="G31" s="74" t="n">
        <v>3</v>
      </c>
      <c r="H31" s="101" t="inlineStr">
        <is>
          <t>Supported. Standard Microsoft support pathways apply - Unified/Premier Support with 24x7 follow-the-sun coverage, severity-based response SLAs, local-language support in APAC including Australia, Korea, Taiwan and Greater China, plus the account CSA/CSAM team. Recommend confirming AIA's current support agreement tier and attaching the specific severity response commitments to the evaluation.</t>
        </is>
      </c>
      <c r="I31" s="64" t="n"/>
      <c r="J31" s="65" t="n"/>
      <c r="K31" s="64" t="n"/>
      <c r="L31" s="65" t="n"/>
      <c r="M31" s="64" t="n"/>
      <c r="N31" s="65" t="n"/>
      <c r="O31" s="64" t="n"/>
      <c r="P31" s="65" t="n"/>
      <c r="Q31" s="64" t="n"/>
      <c r="R31" s="65" t="n"/>
    </row>
    <row r="32" ht="110" customHeight="1">
      <c r="B32" s="60">
        <f>IFERROR('01_Key Requirements &amp; Use Cases'!$B31,"")</f>
        <v/>
      </c>
      <c r="C32" s="61">
        <f>IFERROR('01_Key Requirements &amp; Use Cases'!$C31,"")</f>
        <v/>
      </c>
      <c r="D32" s="62">
        <f>IFERROR('01_Key Requirements &amp; Use Cases'!$D31,"")</f>
        <v/>
      </c>
      <c r="E32" s="8">
        <f>IFERROR('01_Key Requirements &amp; Use Cases'!$E31,"")</f>
        <v/>
      </c>
      <c r="F32" s="63">
        <f>IFERROR('01_Key Requirements &amp; Use Cases'!$F31,"")</f>
        <v/>
      </c>
      <c r="G32" s="74" t="n">
        <v>0</v>
      </c>
      <c r="H32" s="101" t="inlineStr">
        <is>
          <t>NOT supported. Power BI / Fabric content is out of scope for Microsoft 365 Backup. Alternatives: Fabric/Power BI workspace Git integration and deployment pipelines for artefact version control; semantic model backup and restore via XMLA endpoint / .pbix or .bim export (Premium or Fabric capacity); OneLake data is protected by workspace-level retention. Noted as 'good to have' with weightage 1, so recommend excluding it from the core decision criteria.</t>
        </is>
      </c>
      <c r="I32" s="64" t="n"/>
      <c r="J32" s="65" t="n"/>
      <c r="K32" s="64" t="n"/>
      <c r="L32" s="65" t="n"/>
      <c r="M32" s="64" t="n"/>
      <c r="N32" s="65" t="n"/>
      <c r="O32" s="64" t="n"/>
      <c r="P32" s="65" t="n"/>
      <c r="Q32" s="64" t="n"/>
      <c r="R32" s="65" t="n"/>
    </row>
    <row r="33" ht="110" customHeight="1">
      <c r="B33" s="60">
        <f>IFERROR('01_Key Requirements &amp; Use Cases'!$B32,"")</f>
        <v/>
      </c>
      <c r="C33" s="61">
        <f>IFERROR('01_Key Requirements &amp; Use Cases'!$C32,"")</f>
        <v/>
      </c>
      <c r="D33" s="62">
        <f>IFERROR('01_Key Requirements &amp; Use Cases'!$D32,"")</f>
        <v/>
      </c>
      <c r="E33" s="8">
        <f>IFERROR('01_Key Requirements &amp; Use Cases'!$E32,"")</f>
        <v/>
      </c>
      <c r="F33" s="63">
        <f>IFERROR('01_Key Requirements &amp; Use Cases'!$F32,"")</f>
        <v/>
      </c>
      <c r="G33" s="74" t="n">
        <v>0</v>
      </c>
      <c r="H33" s="101" t="inlineStr">
        <is>
          <t>NOT supported. Dynamics 365 / Dataverse is out of scope for Microsoft 365 Backup. Alternatives: Dataverse native system backups (continuous, retained up to 28 days for production) plus on-demand manual backups, environment copy/restore, and long-term data retention in Dataverse; ISVs (Commvault, AvePoint) cover Dynamics if a longer window is required. Noted as 'good to have' with weightage 1.</t>
        </is>
      </c>
      <c r="I33" s="64" t="n"/>
      <c r="J33" s="65" t="n"/>
      <c r="K33" s="64" t="n"/>
      <c r="L33" s="65" t="n"/>
      <c r="M33" s="64" t="n"/>
      <c r="N33" s="65" t="n"/>
      <c r="O33" s="64" t="n"/>
      <c r="P33" s="65" t="n"/>
      <c r="Q33" s="64" t="n"/>
      <c r="R33" s="65" t="n"/>
    </row>
    <row r="34" ht="110" customHeight="1">
      <c r="B34" s="60">
        <f>IFERROR('01_Key Requirements &amp; Use Cases'!$B33,"")</f>
        <v/>
      </c>
      <c r="C34" s="61">
        <f>IFERROR('01_Key Requirements &amp; Use Cases'!$C33,"")</f>
        <v/>
      </c>
      <c r="D34" s="62">
        <f>IFERROR('01_Key Requirements &amp; Use Cases'!$D33,"")</f>
        <v/>
      </c>
      <c r="E34" s="8">
        <f>IFERROR('01_Key Requirements &amp; Use Cases'!$E33,"")</f>
        <v/>
      </c>
      <c r="F34" s="63">
        <f>IFERROR('01_Key Requirements &amp; Use Cases'!$F33,"")</f>
        <v/>
      </c>
      <c r="G34" s="74" t="n">
        <v>2</v>
      </c>
      <c r="H34" s="101" t="inlineStr">
        <is>
          <t>Partially supported. Backups of a departed user's OneDrive and mailbox continue to be retained for 2 years from the date each backup was created, even after the user is removed from the policy or deleted from Entra ID, and hard-deleted mailboxes are preserved as inactive mailboxes while the policy remains in effect. Recovery path is documented (Restore a user within 30 days of soft-delete, or Recover an inactive mailbox - note the 'Restore an inactive mailbox' path does NOT preserve backup data). Gap: 2-year ceiling, which will not satisfy a 7-10 year leaver-retention obligation - pair with Purview retention policies and inactive mailboxes for the regulatory tail.</t>
        </is>
      </c>
      <c r="I34" s="64" t="n"/>
      <c r="J34" s="65" t="n"/>
      <c r="K34" s="64" t="n"/>
      <c r="L34" s="65" t="n"/>
      <c r="M34" s="64" t="n"/>
      <c r="N34" s="65" t="n"/>
      <c r="O34" s="64" t="n"/>
      <c r="P34" s="65" t="n"/>
      <c r="Q34" s="64" t="n"/>
      <c r="R34" s="65" t="n"/>
    </row>
    <row r="35">
      <c r="B35" s="60">
        <f>IFERROR('01_Key Requirements &amp; Use Cases'!$B34,"")</f>
        <v/>
      </c>
      <c r="C35" s="61">
        <f>IFERROR('01_Key Requirements &amp; Use Cases'!$C34,"")</f>
        <v/>
      </c>
      <c r="D35" s="62">
        <f>IFERROR('01_Key Requirements &amp; Use Cases'!$D34,"")</f>
        <v/>
      </c>
      <c r="E35" s="8">
        <f>IFERROR('01_Key Requirements &amp; Use Cases'!$E34,"")</f>
        <v/>
      </c>
      <c r="F35" s="63">
        <f>IFERROR('01_Key Requirements &amp; Use Cases'!$F34,"")</f>
        <v/>
      </c>
      <c r="G35" s="64" t="n"/>
      <c r="H35" s="65" t="n"/>
      <c r="I35" s="64" t="n"/>
      <c r="J35" s="65" t="n"/>
      <c r="K35" s="64" t="n"/>
      <c r="L35" s="65" t="n"/>
      <c r="M35" s="64" t="n"/>
      <c r="N35" s="65" t="n"/>
      <c r="O35" s="64" t="n"/>
      <c r="P35" s="65" t="n"/>
      <c r="Q35" s="64" t="n"/>
      <c r="R35" s="65" t="n"/>
    </row>
    <row r="36">
      <c r="B36" s="60">
        <f>IFERROR('01_Key Requirements &amp; Use Cases'!$B35,"")</f>
        <v/>
      </c>
      <c r="C36" s="61">
        <f>IFERROR('01_Key Requirements &amp; Use Cases'!$C35,"")</f>
        <v/>
      </c>
      <c r="D36" s="62">
        <f>IFERROR('01_Key Requirements &amp; Use Cases'!$D35,"")</f>
        <v/>
      </c>
      <c r="E36" s="8">
        <f>IFERROR('01_Key Requirements &amp; Use Cases'!$E35,"")</f>
        <v/>
      </c>
      <c r="F36" s="63">
        <f>IFERROR('01_Key Requirements &amp; Use Cases'!$F35,"")</f>
        <v/>
      </c>
      <c r="G36" s="64" t="n"/>
      <c r="H36" s="65" t="n"/>
      <c r="I36" s="64" t="n"/>
      <c r="J36" s="65" t="n"/>
      <c r="K36" s="64" t="n"/>
      <c r="L36" s="65" t="n"/>
      <c r="M36" s="64" t="n"/>
      <c r="N36" s="65" t="n"/>
      <c r="O36" s="64" t="n"/>
      <c r="P36" s="65" t="n"/>
      <c r="Q36" s="64" t="n"/>
      <c r="R36" s="65" t="n"/>
    </row>
    <row r="37">
      <c r="B37" s="60">
        <f>IFERROR('01_Key Requirements &amp; Use Cases'!$B36,"")</f>
        <v/>
      </c>
      <c r="C37" s="61">
        <f>IFERROR('01_Key Requirements &amp; Use Cases'!$C36,"")</f>
        <v/>
      </c>
      <c r="D37" s="62">
        <f>IFERROR('01_Key Requirements &amp; Use Cases'!$D36,"")</f>
        <v/>
      </c>
      <c r="E37" s="8">
        <f>IFERROR('01_Key Requirements &amp; Use Cases'!$E36,"")</f>
        <v/>
      </c>
      <c r="F37" s="63">
        <f>IFERROR('01_Key Requirements &amp; Use Cases'!$F36,"")</f>
        <v/>
      </c>
      <c r="G37" s="64" t="n"/>
      <c r="H37" s="65" t="n"/>
      <c r="I37" s="64" t="n"/>
      <c r="J37" s="65" t="n"/>
      <c r="K37" s="64" t="n"/>
      <c r="L37" s="65" t="n"/>
      <c r="M37" s="64" t="n"/>
      <c r="N37" s="65" t="n"/>
      <c r="O37" s="64" t="n"/>
      <c r="P37" s="65" t="n"/>
      <c r="Q37" s="64" t="n"/>
      <c r="R37" s="65" t="n"/>
    </row>
    <row r="38">
      <c r="B38" s="60">
        <f>IFERROR('01_Key Requirements &amp; Use Cases'!$B37,"")</f>
        <v/>
      </c>
      <c r="C38" s="61">
        <f>IFERROR('01_Key Requirements &amp; Use Cases'!$C37,"")</f>
        <v/>
      </c>
      <c r="D38" s="62">
        <f>IFERROR('01_Key Requirements &amp; Use Cases'!$D37,"")</f>
        <v/>
      </c>
      <c r="E38" s="8">
        <f>IFERROR('01_Key Requirements &amp; Use Cases'!$E37,"")</f>
        <v/>
      </c>
      <c r="F38" s="63">
        <f>IFERROR('01_Key Requirements &amp; Use Cases'!$F37,"")</f>
        <v/>
      </c>
      <c r="G38" s="64" t="n"/>
      <c r="H38" s="65" t="n"/>
      <c r="I38" s="64" t="n"/>
      <c r="J38" s="65" t="n"/>
      <c r="K38" s="64" t="n"/>
      <c r="L38" s="65" t="n"/>
      <c r="M38" s="64" t="n"/>
      <c r="N38" s="65" t="n"/>
      <c r="O38" s="64" t="n"/>
      <c r="P38" s="65" t="n"/>
      <c r="Q38" s="64" t="n"/>
      <c r="R38" s="65" t="n"/>
    </row>
    <row r="39">
      <c r="B39" s="60">
        <f>IFERROR('01_Key Requirements &amp; Use Cases'!$B38,"")</f>
        <v/>
      </c>
      <c r="C39" s="61">
        <f>IFERROR('01_Key Requirements &amp; Use Cases'!$C38,"")</f>
        <v/>
      </c>
      <c r="D39" s="62">
        <f>IFERROR('01_Key Requirements &amp; Use Cases'!$D38,"")</f>
        <v/>
      </c>
      <c r="E39" s="8">
        <f>IFERROR('01_Key Requirements &amp; Use Cases'!$E38,"")</f>
        <v/>
      </c>
      <c r="F39" s="63">
        <f>IFERROR('01_Key Requirements &amp; Use Cases'!$F38,"")</f>
        <v/>
      </c>
      <c r="G39" s="64" t="n"/>
      <c r="H39" s="65" t="n"/>
      <c r="I39" s="64" t="n"/>
      <c r="J39" s="65" t="n"/>
      <c r="K39" s="64" t="n"/>
      <c r="L39" s="65" t="n"/>
      <c r="M39" s="64" t="n"/>
      <c r="N39" s="65" t="n"/>
      <c r="O39" s="64" t="n"/>
      <c r="P39" s="65" t="n"/>
      <c r="Q39" s="64" t="n"/>
      <c r="R39" s="65" t="n"/>
    </row>
    <row r="40">
      <c r="B40" s="60">
        <f>IFERROR('01_Key Requirements &amp; Use Cases'!$B39,"")</f>
        <v/>
      </c>
      <c r="C40" s="61">
        <f>IFERROR('01_Key Requirements &amp; Use Cases'!$C39,"")</f>
        <v/>
      </c>
      <c r="D40" s="62">
        <f>IFERROR('01_Key Requirements &amp; Use Cases'!$D39,"")</f>
        <v/>
      </c>
      <c r="E40" s="8">
        <f>IFERROR('01_Key Requirements &amp; Use Cases'!$E39,"")</f>
        <v/>
      </c>
      <c r="F40" s="63">
        <f>IFERROR('01_Key Requirements &amp; Use Cases'!$F39,"")</f>
        <v/>
      </c>
      <c r="G40" s="64" t="n"/>
      <c r="H40" s="65" t="n"/>
      <c r="I40" s="64" t="n"/>
      <c r="J40" s="65" t="n"/>
      <c r="K40" s="64" t="n"/>
      <c r="L40" s="65" t="n"/>
      <c r="M40" s="64" t="n"/>
      <c r="N40" s="32" t="n"/>
      <c r="O40" s="64" t="n"/>
      <c r="P40" s="65" t="n"/>
      <c r="Q40" s="64" t="n"/>
      <c r="R40" s="65" t="n"/>
    </row>
    <row r="41">
      <c r="B41" s="60">
        <f>IFERROR('01_Key Requirements &amp; Use Cases'!$B40,"")</f>
        <v/>
      </c>
      <c r="C41" s="61">
        <f>IFERROR('01_Key Requirements &amp; Use Cases'!$C40,"")</f>
        <v/>
      </c>
      <c r="D41" s="62">
        <f>IFERROR('01_Key Requirements &amp; Use Cases'!$D40,"")</f>
        <v/>
      </c>
      <c r="E41" s="8">
        <f>IFERROR('01_Key Requirements &amp; Use Cases'!$E40,"")</f>
        <v/>
      </c>
      <c r="F41" s="63">
        <f>IFERROR('01_Key Requirements &amp; Use Cases'!$F40,"")</f>
        <v/>
      </c>
      <c r="G41" s="64" t="n"/>
      <c r="H41" s="65" t="n"/>
      <c r="I41" s="64" t="n"/>
      <c r="J41" s="65" t="n"/>
      <c r="K41" s="64" t="n"/>
      <c r="L41" s="65" t="n"/>
      <c r="M41" s="64" t="n"/>
      <c r="N41" s="65" t="n"/>
      <c r="O41" s="64" t="n"/>
      <c r="P41" s="65" t="n"/>
      <c r="Q41" s="64" t="n"/>
      <c r="R41" s="65" t="n"/>
    </row>
    <row r="42">
      <c r="B42" s="60">
        <f>IFERROR('01_Key Requirements &amp; Use Cases'!$B41,"")</f>
        <v/>
      </c>
      <c r="C42" s="61">
        <f>IFERROR('01_Key Requirements &amp; Use Cases'!$C41,"")</f>
        <v/>
      </c>
      <c r="D42" s="62">
        <f>IFERROR('01_Key Requirements &amp; Use Cases'!$D41,"")</f>
        <v/>
      </c>
      <c r="E42" s="8">
        <f>IFERROR('01_Key Requirements &amp; Use Cases'!$E41,"")</f>
        <v/>
      </c>
      <c r="F42" s="63">
        <f>IFERROR('01_Key Requirements &amp; Use Cases'!$F41,"")</f>
        <v/>
      </c>
      <c r="G42" s="64" t="n"/>
      <c r="H42" s="65" t="n"/>
      <c r="I42" s="64" t="n"/>
      <c r="J42" s="65" t="n"/>
      <c r="K42" s="64" t="n"/>
      <c r="L42" s="65" t="n"/>
      <c r="M42" s="64" t="n"/>
      <c r="N42" s="65" t="n"/>
      <c r="O42" s="64" t="n"/>
      <c r="P42" s="65" t="n"/>
      <c r="Q42" s="64" t="n"/>
      <c r="R42" s="65" t="n"/>
    </row>
    <row r="43">
      <c r="B43" s="60">
        <f>IFERROR('01_Key Requirements &amp; Use Cases'!$B42,"")</f>
        <v/>
      </c>
      <c r="C43" s="61">
        <f>IFERROR('01_Key Requirements &amp; Use Cases'!$C42,"")</f>
        <v/>
      </c>
      <c r="D43" s="62">
        <f>IFERROR('01_Key Requirements &amp; Use Cases'!$D42,"")</f>
        <v/>
      </c>
      <c r="E43" s="8">
        <f>IFERROR('01_Key Requirements &amp; Use Cases'!$E42,"")</f>
        <v/>
      </c>
      <c r="F43" s="63">
        <f>IFERROR('01_Key Requirements &amp; Use Cases'!$F42,"")</f>
        <v/>
      </c>
      <c r="G43" s="64" t="n"/>
      <c r="H43" s="65" t="n"/>
      <c r="I43" s="64" t="n"/>
      <c r="J43" s="65" t="n"/>
      <c r="K43" s="64" t="n"/>
      <c r="L43" s="65" t="n"/>
      <c r="M43" s="64" t="n"/>
      <c r="N43" s="65" t="n"/>
      <c r="O43" s="64" t="n"/>
      <c r="P43" s="65" t="n"/>
      <c r="Q43" s="64" t="n"/>
      <c r="R43" s="65" t="n"/>
    </row>
    <row r="44">
      <c r="B44" s="60">
        <f>IFERROR('01_Key Requirements &amp; Use Cases'!$B43,"")</f>
        <v/>
      </c>
      <c r="C44" s="61">
        <f>IFERROR('01_Key Requirements &amp; Use Cases'!$C43,"")</f>
        <v/>
      </c>
      <c r="D44" s="62">
        <f>IFERROR('01_Key Requirements &amp; Use Cases'!$D43,"")</f>
        <v/>
      </c>
      <c r="E44" s="8">
        <f>IFERROR('01_Key Requirements &amp; Use Cases'!$E43,"")</f>
        <v/>
      </c>
      <c r="F44" s="63">
        <f>IFERROR('01_Key Requirements &amp; Use Cases'!$F43,"")</f>
        <v/>
      </c>
      <c r="G44" s="64" t="n"/>
      <c r="H44" s="65" t="n"/>
      <c r="I44" s="64" t="n"/>
      <c r="J44" s="65" t="n"/>
      <c r="K44" s="64" t="n"/>
      <c r="L44" s="65" t="n"/>
      <c r="M44" s="64" t="n"/>
      <c r="N44" s="65" t="n"/>
      <c r="O44" s="64" t="n"/>
      <c r="P44" s="65" t="n"/>
      <c r="Q44" s="64" t="n"/>
      <c r="R44" s="65" t="n"/>
    </row>
    <row r="45">
      <c r="B45" s="60">
        <f>IFERROR('01_Key Requirements &amp; Use Cases'!$B44,"")</f>
        <v/>
      </c>
      <c r="C45" s="61">
        <f>IFERROR('01_Key Requirements &amp; Use Cases'!$C44,"")</f>
        <v/>
      </c>
      <c r="D45" s="62">
        <f>IFERROR('01_Key Requirements &amp; Use Cases'!$D44,"")</f>
        <v/>
      </c>
      <c r="E45" s="8">
        <f>IFERROR('01_Key Requirements &amp; Use Cases'!$E44,"")</f>
        <v/>
      </c>
      <c r="F45" s="63">
        <f>IFERROR('01_Key Requirements &amp; Use Cases'!$F44,"")</f>
        <v/>
      </c>
      <c r="G45" s="64" t="n"/>
      <c r="H45" s="65" t="n"/>
      <c r="I45" s="64" t="n"/>
      <c r="J45" s="65" t="n"/>
      <c r="K45" s="64" t="n"/>
      <c r="L45" s="65" t="n"/>
      <c r="M45" s="64" t="n"/>
      <c r="N45" s="65" t="n"/>
      <c r="O45" s="64" t="n"/>
      <c r="P45" s="65" t="n"/>
      <c r="Q45" s="64" t="n"/>
      <c r="R45" s="65" t="n"/>
    </row>
    <row r="46">
      <c r="B46" s="60">
        <f>IFERROR('01_Key Requirements &amp; Use Cases'!$B45,"")</f>
        <v/>
      </c>
      <c r="C46" s="61">
        <f>IFERROR('01_Key Requirements &amp; Use Cases'!$C45,"")</f>
        <v/>
      </c>
      <c r="D46" s="62">
        <f>IFERROR('01_Key Requirements &amp; Use Cases'!$D45,"")</f>
        <v/>
      </c>
      <c r="E46" s="8">
        <f>IFERROR('01_Key Requirements &amp; Use Cases'!$E45,"")</f>
        <v/>
      </c>
      <c r="F46" s="63">
        <f>IFERROR('01_Key Requirements &amp; Use Cases'!$F45,"")</f>
        <v/>
      </c>
      <c r="G46" s="64" t="n"/>
      <c r="H46" s="65" t="n"/>
      <c r="I46" s="64" t="n"/>
      <c r="J46" s="65" t="n"/>
      <c r="K46" s="64" t="n"/>
      <c r="L46" s="65" t="n"/>
      <c r="M46" s="64" t="n"/>
      <c r="N46" s="65" t="n"/>
      <c r="O46" s="64" t="n"/>
      <c r="P46" s="65" t="n"/>
      <c r="Q46" s="64" t="n"/>
      <c r="R46" s="65" t="n"/>
    </row>
    <row r="47">
      <c r="B47" s="60">
        <f>IFERROR('01_Key Requirements &amp; Use Cases'!$B46,"")</f>
        <v/>
      </c>
      <c r="C47" s="61">
        <f>IFERROR('01_Key Requirements &amp; Use Cases'!$C46,"")</f>
        <v/>
      </c>
      <c r="D47" s="62">
        <f>IFERROR('01_Key Requirements &amp; Use Cases'!$D46,"")</f>
        <v/>
      </c>
      <c r="E47" s="8">
        <f>IFERROR('01_Key Requirements &amp; Use Cases'!$E46,"")</f>
        <v/>
      </c>
      <c r="F47" s="63">
        <f>IFERROR('01_Key Requirements &amp; Use Cases'!$F46,"")</f>
        <v/>
      </c>
      <c r="G47" s="64" t="n"/>
      <c r="H47" s="65" t="n"/>
      <c r="I47" s="64" t="n"/>
      <c r="J47" s="65" t="n"/>
      <c r="K47" s="64" t="n"/>
      <c r="L47" s="65" t="n"/>
      <c r="M47" s="64" t="n"/>
      <c r="N47" s="65" t="n"/>
      <c r="O47" s="64" t="n"/>
      <c r="P47" s="65" t="n"/>
      <c r="Q47" s="64" t="n"/>
      <c r="R47" s="65" t="n"/>
    </row>
    <row r="48">
      <c r="B48" s="60">
        <f>IFERROR('01_Key Requirements &amp; Use Cases'!$B47,"")</f>
        <v/>
      </c>
      <c r="C48" s="61">
        <f>IFERROR('01_Key Requirements &amp; Use Cases'!$C47,"")</f>
        <v/>
      </c>
      <c r="D48" s="62">
        <f>IFERROR('01_Key Requirements &amp; Use Cases'!$D47,"")</f>
        <v/>
      </c>
      <c r="E48" s="8">
        <f>IFERROR('01_Key Requirements &amp; Use Cases'!$E47,"")</f>
        <v/>
      </c>
      <c r="F48" s="63">
        <f>IFERROR('01_Key Requirements &amp; Use Cases'!$F47,"")</f>
        <v/>
      </c>
      <c r="G48" s="64" t="n"/>
      <c r="H48" s="65" t="n"/>
      <c r="I48" s="64" t="n"/>
      <c r="J48" s="65" t="n"/>
      <c r="K48" s="64" t="n"/>
      <c r="L48" s="65" t="n"/>
      <c r="M48" s="64" t="n"/>
      <c r="N48" s="65" t="n"/>
      <c r="O48" s="64" t="n"/>
      <c r="P48" s="65" t="n"/>
      <c r="Q48" s="64" t="n"/>
      <c r="R48" s="65" t="n"/>
    </row>
    <row r="49">
      <c r="B49" s="60">
        <f>IFERROR('01_Key Requirements &amp; Use Cases'!$B48,"")</f>
        <v/>
      </c>
      <c r="C49" s="61">
        <f>IFERROR('01_Key Requirements &amp; Use Cases'!$C48,"")</f>
        <v/>
      </c>
      <c r="D49" s="62">
        <f>IFERROR('01_Key Requirements &amp; Use Cases'!$D48,"")</f>
        <v/>
      </c>
      <c r="E49" s="8">
        <f>IFERROR('01_Key Requirements &amp; Use Cases'!$E48,"")</f>
        <v/>
      </c>
      <c r="F49" s="63">
        <f>IFERROR('01_Key Requirements &amp; Use Cases'!$F48,"")</f>
        <v/>
      </c>
      <c r="G49" s="64" t="n"/>
      <c r="H49" s="65" t="n"/>
      <c r="I49" s="64" t="n"/>
      <c r="J49" s="65" t="n"/>
      <c r="K49" s="64" t="n"/>
      <c r="L49" s="65" t="n"/>
      <c r="M49" s="64" t="n"/>
      <c r="N49" s="65" t="n"/>
      <c r="O49" s="64" t="n"/>
      <c r="P49" s="65" t="n"/>
      <c r="Q49" s="64" t="n"/>
      <c r="R49" s="65" t="n"/>
    </row>
    <row r="50">
      <c r="B50" s="60">
        <f>IFERROR('01_Key Requirements &amp; Use Cases'!$B49,"")</f>
        <v/>
      </c>
      <c r="C50" s="61">
        <f>IFERROR('01_Key Requirements &amp; Use Cases'!$C49,"")</f>
        <v/>
      </c>
      <c r="D50" s="62">
        <f>IFERROR('01_Key Requirements &amp; Use Cases'!$D49,"")</f>
        <v/>
      </c>
      <c r="E50" s="8">
        <f>IFERROR('01_Key Requirements &amp; Use Cases'!$E49,"")</f>
        <v/>
      </c>
      <c r="F50" s="63">
        <f>IFERROR('01_Key Requirements &amp; Use Cases'!$F49,"")</f>
        <v/>
      </c>
      <c r="G50" s="64" t="n"/>
      <c r="H50" s="65" t="n"/>
      <c r="I50" s="64" t="n"/>
      <c r="J50" s="65" t="n"/>
      <c r="K50" s="64" t="n"/>
      <c r="L50" s="65" t="n"/>
      <c r="M50" s="64" t="n"/>
      <c r="N50" s="65" t="n"/>
      <c r="O50" s="64" t="n"/>
      <c r="P50" s="65" t="n"/>
      <c r="Q50" s="64" t="n"/>
      <c r="R50" s="65" t="n"/>
    </row>
    <row r="51">
      <c r="B51" s="60">
        <f>IFERROR('01_Key Requirements &amp; Use Cases'!$B50,"")</f>
        <v/>
      </c>
      <c r="C51" s="61">
        <f>IFERROR('01_Key Requirements &amp; Use Cases'!$C50,"")</f>
        <v/>
      </c>
      <c r="D51" s="62">
        <f>IFERROR('01_Key Requirements &amp; Use Cases'!$D50,"")</f>
        <v/>
      </c>
      <c r="E51" s="8">
        <f>IFERROR('01_Key Requirements &amp; Use Cases'!$E50,"")</f>
        <v/>
      </c>
      <c r="F51" s="63">
        <f>IFERROR('01_Key Requirements &amp; Use Cases'!$F50,"")</f>
        <v/>
      </c>
      <c r="G51" s="64" t="n"/>
      <c r="H51" s="65" t="n"/>
      <c r="I51" s="64" t="n"/>
      <c r="J51" s="65" t="n"/>
      <c r="K51" s="64" t="n"/>
      <c r="L51" s="65" t="n"/>
      <c r="M51" s="64" t="n"/>
      <c r="N51" s="65" t="n"/>
      <c r="O51" s="64" t="n"/>
      <c r="P51" s="65" t="n"/>
      <c r="Q51" s="64" t="n"/>
      <c r="R51" s="65" t="n"/>
    </row>
    <row r="52">
      <c r="B52" s="60">
        <f>IFERROR('01_Key Requirements &amp; Use Cases'!$B51,"")</f>
        <v/>
      </c>
      <c r="C52" s="61">
        <f>IFERROR('01_Key Requirements &amp; Use Cases'!$C51,"")</f>
        <v/>
      </c>
      <c r="D52" s="62">
        <f>IFERROR('01_Key Requirements &amp; Use Cases'!$D51,"")</f>
        <v/>
      </c>
      <c r="E52" s="8">
        <f>IFERROR('01_Key Requirements &amp; Use Cases'!$E51,"")</f>
        <v/>
      </c>
      <c r="F52" s="63">
        <f>IFERROR('01_Key Requirements &amp; Use Cases'!$F51,"")</f>
        <v/>
      </c>
      <c r="G52" s="64" t="n"/>
      <c r="H52" s="65" t="n"/>
      <c r="I52" s="64" t="n"/>
      <c r="J52" s="65" t="n"/>
      <c r="K52" s="64" t="n"/>
      <c r="L52" s="65" t="n"/>
      <c r="M52" s="64" t="n"/>
      <c r="N52" s="65" t="n"/>
      <c r="O52" s="64" t="n"/>
      <c r="P52" s="65" t="n"/>
      <c r="Q52" s="64" t="n"/>
      <c r="R52" s="65" t="n"/>
    </row>
    <row r="53">
      <c r="B53" s="60">
        <f>IFERROR('01_Key Requirements &amp; Use Cases'!$B52,"")</f>
        <v/>
      </c>
      <c r="C53" s="61">
        <f>IFERROR('01_Key Requirements &amp; Use Cases'!$C52,"")</f>
        <v/>
      </c>
      <c r="D53" s="62">
        <f>IFERROR('01_Key Requirements &amp; Use Cases'!$D52,"")</f>
        <v/>
      </c>
      <c r="E53" s="8">
        <f>IFERROR('01_Key Requirements &amp; Use Cases'!$E52,"")</f>
        <v/>
      </c>
      <c r="F53" s="63">
        <f>IFERROR('01_Key Requirements &amp; Use Cases'!$F52,"")</f>
        <v/>
      </c>
      <c r="G53" s="64" t="n"/>
      <c r="H53" s="65" t="n"/>
      <c r="I53" s="64" t="n"/>
      <c r="J53" s="65" t="n"/>
      <c r="K53" s="64" t="n"/>
      <c r="L53" s="65" t="n"/>
      <c r="M53" s="64" t="n"/>
      <c r="N53" s="65" t="n"/>
      <c r="O53" s="64" t="n"/>
      <c r="P53" s="65" t="n"/>
      <c r="Q53" s="64" t="n"/>
      <c r="R53" s="65" t="n"/>
    </row>
    <row r="54">
      <c r="B54" s="60">
        <f>IFERROR('01_Key Requirements &amp; Use Cases'!$B53,"")</f>
        <v/>
      </c>
      <c r="C54" s="61">
        <f>IFERROR('01_Key Requirements &amp; Use Cases'!$C53,"")</f>
        <v/>
      </c>
      <c r="D54" s="62">
        <f>IFERROR('01_Key Requirements &amp; Use Cases'!$D53,"")</f>
        <v/>
      </c>
      <c r="E54" s="8">
        <f>IFERROR('01_Key Requirements &amp; Use Cases'!$E53,"")</f>
        <v/>
      </c>
      <c r="F54" s="63">
        <f>IFERROR('01_Key Requirements &amp; Use Cases'!$F53,"")</f>
        <v/>
      </c>
      <c r="G54" s="64" t="n"/>
      <c r="H54" s="65" t="n"/>
      <c r="I54" s="64" t="n"/>
      <c r="J54" s="65" t="n"/>
      <c r="K54" s="64" t="n"/>
      <c r="L54" s="65" t="n"/>
      <c r="M54" s="64" t="n"/>
      <c r="N54" s="65" t="n"/>
      <c r="O54" s="64" t="n"/>
      <c r="P54" s="65" t="n"/>
      <c r="Q54" s="64" t="n"/>
      <c r="R54" s="65" t="n"/>
    </row>
    <row r="55">
      <c r="B55" s="60">
        <f>IFERROR('01_Key Requirements &amp; Use Cases'!$B54,"")</f>
        <v/>
      </c>
      <c r="C55" s="61">
        <f>IFERROR('01_Key Requirements &amp; Use Cases'!$C54,"")</f>
        <v/>
      </c>
      <c r="D55" s="62">
        <f>IFERROR('01_Key Requirements &amp; Use Cases'!$D54,"")</f>
        <v/>
      </c>
      <c r="E55" s="8">
        <f>IFERROR('01_Key Requirements &amp; Use Cases'!$E54,"")</f>
        <v/>
      </c>
      <c r="F55" s="63">
        <f>IFERROR('01_Key Requirements &amp; Use Cases'!$F54,"")</f>
        <v/>
      </c>
      <c r="G55" s="64" t="n"/>
      <c r="H55" s="65" t="n"/>
      <c r="I55" s="64" t="n"/>
      <c r="J55" s="65" t="n"/>
      <c r="K55" s="64" t="n"/>
      <c r="L55" s="65" t="n"/>
      <c r="M55" s="64" t="n"/>
      <c r="N55" s="65" t="n"/>
      <c r="O55" s="64" t="n"/>
      <c r="P55" s="65" t="n"/>
      <c r="Q55" s="64" t="n"/>
      <c r="R55" s="65" t="n"/>
    </row>
    <row r="56">
      <c r="B56" s="60">
        <f>IFERROR('01_Key Requirements &amp; Use Cases'!$B55,"")</f>
        <v/>
      </c>
      <c r="C56" s="61">
        <f>IFERROR('01_Key Requirements &amp; Use Cases'!$C55,"")</f>
        <v/>
      </c>
      <c r="D56" s="62">
        <f>IFERROR('01_Key Requirements &amp; Use Cases'!$D55,"")</f>
        <v/>
      </c>
      <c r="E56" s="8">
        <f>IFERROR('01_Key Requirements &amp; Use Cases'!$E55,"")</f>
        <v/>
      </c>
      <c r="F56" s="63">
        <f>IFERROR('01_Key Requirements &amp; Use Cases'!$F55,"")</f>
        <v/>
      </c>
      <c r="G56" s="64" t="n"/>
      <c r="H56" s="65" t="n"/>
      <c r="I56" s="64" t="n"/>
      <c r="J56" s="65" t="n"/>
      <c r="K56" s="64" t="n"/>
      <c r="L56" s="65" t="n"/>
      <c r="M56" s="64" t="n"/>
      <c r="N56" s="65" t="n"/>
      <c r="O56" s="64" t="n"/>
      <c r="P56" s="65" t="n"/>
      <c r="Q56" s="64" t="n"/>
      <c r="R56" s="65" t="n"/>
    </row>
    <row r="57">
      <c r="B57" s="60">
        <f>IFERROR('01_Key Requirements &amp; Use Cases'!$B56,"")</f>
        <v/>
      </c>
      <c r="C57" s="61">
        <f>IFERROR('01_Key Requirements &amp; Use Cases'!$C56,"")</f>
        <v/>
      </c>
      <c r="D57" s="62">
        <f>IFERROR('01_Key Requirements &amp; Use Cases'!$D56,"")</f>
        <v/>
      </c>
      <c r="E57" s="8">
        <f>IFERROR('01_Key Requirements &amp; Use Cases'!$E56,"")</f>
        <v/>
      </c>
      <c r="F57" s="63">
        <f>IFERROR('01_Key Requirements &amp; Use Cases'!$F56,"")</f>
        <v/>
      </c>
      <c r="G57" s="64" t="n"/>
      <c r="H57" s="65" t="n"/>
      <c r="I57" s="64" t="n"/>
      <c r="J57" s="65" t="n"/>
      <c r="K57" s="64" t="n"/>
      <c r="L57" s="65" t="n"/>
      <c r="M57" s="64" t="n"/>
      <c r="N57" s="65" t="n"/>
      <c r="O57" s="64" t="n"/>
      <c r="P57" s="65" t="n"/>
      <c r="Q57" s="64" t="n"/>
      <c r="R57" s="65" t="n"/>
    </row>
    <row r="58">
      <c r="B58" s="60">
        <f>IFERROR('01_Key Requirements &amp; Use Cases'!$B57,"")</f>
        <v/>
      </c>
      <c r="C58" s="61">
        <f>IFERROR('01_Key Requirements &amp; Use Cases'!$C57,"")</f>
        <v/>
      </c>
      <c r="D58" s="62">
        <f>IFERROR('01_Key Requirements &amp; Use Cases'!$D57,"")</f>
        <v/>
      </c>
      <c r="E58" s="8">
        <f>IFERROR('01_Key Requirements &amp; Use Cases'!$E57,"")</f>
        <v/>
      </c>
      <c r="F58" s="63">
        <f>IFERROR('01_Key Requirements &amp; Use Cases'!$F57,"")</f>
        <v/>
      </c>
      <c r="G58" s="64" t="n"/>
      <c r="H58" s="65" t="n"/>
      <c r="I58" s="64" t="n"/>
      <c r="J58" s="65" t="n"/>
      <c r="K58" s="64" t="n"/>
      <c r="L58" s="65" t="n"/>
      <c r="M58" s="64" t="n"/>
      <c r="N58" s="65" t="n"/>
      <c r="O58" s="64" t="n"/>
      <c r="P58" s="65" t="n"/>
      <c r="Q58" s="64" t="n"/>
      <c r="R58" s="65" t="n"/>
    </row>
    <row r="59">
      <c r="B59" s="60">
        <f>IFERROR('01_Key Requirements &amp; Use Cases'!$B58,"")</f>
        <v/>
      </c>
      <c r="C59" s="61">
        <f>IFERROR('01_Key Requirements &amp; Use Cases'!$C58,"")</f>
        <v/>
      </c>
      <c r="D59" s="62">
        <f>IFERROR('01_Key Requirements &amp; Use Cases'!$D58,"")</f>
        <v/>
      </c>
      <c r="E59" s="8">
        <f>IFERROR('01_Key Requirements &amp; Use Cases'!$E58,"")</f>
        <v/>
      </c>
      <c r="F59" s="63">
        <f>IFERROR('01_Key Requirements &amp; Use Cases'!$F58,"")</f>
        <v/>
      </c>
      <c r="G59" s="64" t="n"/>
      <c r="H59" s="65" t="n"/>
      <c r="I59" s="64" t="n"/>
      <c r="J59" s="65" t="n"/>
      <c r="K59" s="64" t="n"/>
      <c r="L59" s="65" t="n"/>
      <c r="M59" s="64" t="n"/>
      <c r="N59" s="65" t="n"/>
      <c r="O59" s="64" t="n"/>
      <c r="P59" s="65" t="n"/>
      <c r="Q59" s="64" t="n"/>
      <c r="R59" s="65" t="n"/>
    </row>
    <row r="60">
      <c r="B60" s="60">
        <f>IFERROR('01_Key Requirements &amp; Use Cases'!$B59,"")</f>
        <v/>
      </c>
      <c r="C60" s="61">
        <f>IFERROR('01_Key Requirements &amp; Use Cases'!$C59,"")</f>
        <v/>
      </c>
      <c r="D60" s="62">
        <f>IFERROR('01_Key Requirements &amp; Use Cases'!$D59,"")</f>
        <v/>
      </c>
      <c r="E60" s="8">
        <f>IFERROR('01_Key Requirements &amp; Use Cases'!$E59,"")</f>
        <v/>
      </c>
      <c r="F60" s="63">
        <f>IFERROR('01_Key Requirements &amp; Use Cases'!$F59,"")</f>
        <v/>
      </c>
      <c r="G60" s="64" t="n"/>
      <c r="H60" s="65" t="n"/>
      <c r="I60" s="64" t="n"/>
      <c r="J60" s="65" t="n"/>
      <c r="K60" s="64" t="n"/>
      <c r="L60" s="65" t="n"/>
      <c r="M60" s="64" t="n"/>
      <c r="N60" s="65" t="n"/>
      <c r="O60" s="64" t="n"/>
      <c r="P60" s="65" t="n"/>
      <c r="Q60" s="64" t="n"/>
      <c r="R60" s="65" t="n"/>
    </row>
    <row r="61">
      <c r="B61" s="60">
        <f>IFERROR('01_Key Requirements &amp; Use Cases'!$B60,"")</f>
        <v/>
      </c>
      <c r="C61" s="61">
        <f>IFERROR('01_Key Requirements &amp; Use Cases'!$C60,"")</f>
        <v/>
      </c>
      <c r="D61" s="62">
        <f>IFERROR('01_Key Requirements &amp; Use Cases'!$D60,"")</f>
        <v/>
      </c>
      <c r="E61" s="8">
        <f>IFERROR('01_Key Requirements &amp; Use Cases'!$E60,"")</f>
        <v/>
      </c>
      <c r="F61" s="63">
        <f>IFERROR('01_Key Requirements &amp; Use Cases'!$F60,"")</f>
        <v/>
      </c>
      <c r="G61" s="64" t="n"/>
      <c r="H61" s="65" t="n"/>
      <c r="I61" s="64" t="n"/>
      <c r="J61" s="65" t="n"/>
      <c r="K61" s="64" t="n"/>
      <c r="L61" s="65" t="n"/>
      <c r="M61" s="64" t="n"/>
      <c r="N61" s="65" t="n"/>
      <c r="O61" s="64" t="n"/>
      <c r="P61" s="65" t="n"/>
      <c r="Q61" s="64" t="n"/>
      <c r="R61" s="65" t="n"/>
    </row>
    <row r="62">
      <c r="B62" s="60">
        <f>IFERROR('01_Key Requirements &amp; Use Cases'!$B61,"")</f>
        <v/>
      </c>
      <c r="C62" s="61">
        <f>IFERROR('01_Key Requirements &amp; Use Cases'!$C61,"")</f>
        <v/>
      </c>
      <c r="D62" s="62">
        <f>IFERROR('01_Key Requirements &amp; Use Cases'!$D61,"")</f>
        <v/>
      </c>
      <c r="E62" s="8">
        <f>IFERROR('01_Key Requirements &amp; Use Cases'!$E61,"")</f>
        <v/>
      </c>
      <c r="F62" s="63">
        <f>IFERROR('01_Key Requirements &amp; Use Cases'!$F61,"")</f>
        <v/>
      </c>
      <c r="G62" s="64" t="n"/>
      <c r="H62" s="65" t="n"/>
      <c r="I62" s="64" t="n"/>
      <c r="J62" s="65" t="n"/>
      <c r="K62" s="64" t="n"/>
      <c r="L62" s="65" t="n"/>
      <c r="M62" s="64" t="n"/>
      <c r="N62" s="65" t="n"/>
      <c r="O62" s="64" t="n"/>
      <c r="P62" s="65" t="n"/>
      <c r="Q62" s="64" t="n"/>
      <c r="R62" s="65" t="n"/>
    </row>
    <row r="63">
      <c r="B63" s="60">
        <f>IFERROR('01_Key Requirements &amp; Use Cases'!$B62,"")</f>
        <v/>
      </c>
      <c r="C63" s="61">
        <f>IFERROR('01_Key Requirements &amp; Use Cases'!$C62,"")</f>
        <v/>
      </c>
      <c r="D63" s="62">
        <f>IFERROR('01_Key Requirements &amp; Use Cases'!$D62,"")</f>
        <v/>
      </c>
      <c r="E63" s="8">
        <f>IFERROR('01_Key Requirements &amp; Use Cases'!$E62,"")</f>
        <v/>
      </c>
      <c r="F63" s="63">
        <f>IFERROR('01_Key Requirements &amp; Use Cases'!$F62,"")</f>
        <v/>
      </c>
      <c r="G63" s="64" t="n"/>
      <c r="H63" s="65" t="n"/>
      <c r="I63" s="64" t="n"/>
      <c r="J63" s="65" t="n"/>
      <c r="K63" s="64" t="n"/>
      <c r="L63" s="65" t="n"/>
      <c r="M63" s="64" t="n"/>
      <c r="N63" s="65" t="n"/>
      <c r="O63" s="64" t="n"/>
      <c r="P63" s="65" t="n"/>
      <c r="Q63" s="64" t="n"/>
      <c r="R63" s="65" t="n"/>
    </row>
    <row r="64">
      <c r="B64" s="60">
        <f>IFERROR('01_Key Requirements &amp; Use Cases'!$B63,"")</f>
        <v/>
      </c>
      <c r="C64" s="61">
        <f>IFERROR('01_Key Requirements &amp; Use Cases'!$C63,"")</f>
        <v/>
      </c>
      <c r="D64" s="62">
        <f>IFERROR('01_Key Requirements &amp; Use Cases'!$D63,"")</f>
        <v/>
      </c>
      <c r="E64" s="8">
        <f>IFERROR('01_Key Requirements &amp; Use Cases'!$E63,"")</f>
        <v/>
      </c>
      <c r="F64" s="63">
        <f>IFERROR('01_Key Requirements &amp; Use Cases'!$F63,"")</f>
        <v/>
      </c>
      <c r="G64" s="64" t="n"/>
      <c r="H64" s="65" t="n"/>
      <c r="I64" s="64" t="n"/>
      <c r="J64" s="65" t="n"/>
      <c r="K64" s="64" t="n"/>
      <c r="L64" s="65" t="n"/>
      <c r="M64" s="64" t="n"/>
      <c r="N64" s="65" t="n"/>
      <c r="O64" s="64" t="n"/>
      <c r="P64" s="65" t="n"/>
      <c r="Q64" s="64" t="n"/>
      <c r="R64" s="65" t="n"/>
    </row>
    <row r="65">
      <c r="B65" s="60">
        <f>IFERROR('01_Key Requirements &amp; Use Cases'!$B64,"")</f>
        <v/>
      </c>
      <c r="C65" s="61">
        <f>IFERROR('01_Key Requirements &amp; Use Cases'!$C64,"")</f>
        <v/>
      </c>
      <c r="D65" s="62">
        <f>IFERROR('01_Key Requirements &amp; Use Cases'!$D64,"")</f>
        <v/>
      </c>
      <c r="E65" s="8">
        <f>IFERROR('01_Key Requirements &amp; Use Cases'!$E64,"")</f>
        <v/>
      </c>
      <c r="F65" s="63">
        <f>IFERROR('01_Key Requirements &amp; Use Cases'!$F64,"")</f>
        <v/>
      </c>
      <c r="G65" s="64" t="n"/>
      <c r="H65" s="65" t="n"/>
      <c r="I65" s="64" t="n"/>
      <c r="J65" s="65" t="n"/>
      <c r="K65" s="64" t="n"/>
      <c r="L65" s="65" t="n"/>
      <c r="M65" s="64" t="n"/>
      <c r="N65" s="65" t="n"/>
      <c r="O65" s="64" t="n"/>
      <c r="P65" s="65" t="n"/>
      <c r="Q65" s="64" t="n"/>
      <c r="R65" s="65" t="n"/>
    </row>
    <row r="66">
      <c r="B66" s="60">
        <f>IFERROR('01_Key Requirements &amp; Use Cases'!$B65,"")</f>
        <v/>
      </c>
      <c r="C66" s="61">
        <f>IFERROR('01_Key Requirements &amp; Use Cases'!$C65,"")</f>
        <v/>
      </c>
      <c r="D66" s="62">
        <f>IFERROR('01_Key Requirements &amp; Use Cases'!$D65,"")</f>
        <v/>
      </c>
      <c r="E66" s="8">
        <f>IFERROR('01_Key Requirements &amp; Use Cases'!$E65,"")</f>
        <v/>
      </c>
      <c r="F66" s="63">
        <f>IFERROR('01_Key Requirements &amp; Use Cases'!$F65,"")</f>
        <v/>
      </c>
      <c r="G66" s="64" t="n"/>
      <c r="H66" s="65" t="n"/>
      <c r="I66" s="64" t="n"/>
      <c r="J66" s="65" t="n"/>
      <c r="K66" s="64" t="n"/>
      <c r="L66" s="65" t="n"/>
      <c r="M66" s="64" t="n"/>
      <c r="N66" s="65" t="n"/>
      <c r="O66" s="64" t="n"/>
      <c r="P66" s="65" t="n"/>
      <c r="Q66" s="64" t="n"/>
      <c r="R66" s="65" t="n"/>
    </row>
    <row r="67">
      <c r="B67" s="60">
        <f>IFERROR('01_Key Requirements &amp; Use Cases'!$B66,"")</f>
        <v/>
      </c>
      <c r="C67" s="61">
        <f>IFERROR('01_Key Requirements &amp; Use Cases'!$C66,"")</f>
        <v/>
      </c>
      <c r="D67" s="62">
        <f>IFERROR('01_Key Requirements &amp; Use Cases'!$D66,"")</f>
        <v/>
      </c>
      <c r="E67" s="8">
        <f>IFERROR('01_Key Requirements &amp; Use Cases'!$E66,"")</f>
        <v/>
      </c>
      <c r="F67" s="63">
        <f>IFERROR('01_Key Requirements &amp; Use Cases'!$F66,"")</f>
        <v/>
      </c>
      <c r="G67" s="64" t="n"/>
      <c r="H67" s="65" t="n"/>
      <c r="I67" s="64" t="n"/>
      <c r="J67" s="65" t="n"/>
      <c r="K67" s="64" t="n"/>
      <c r="L67" s="65" t="n"/>
      <c r="M67" s="64" t="n"/>
      <c r="N67" s="65" t="n"/>
      <c r="O67" s="64" t="n"/>
      <c r="P67" s="65" t="n"/>
      <c r="Q67" s="64" t="n"/>
      <c r="R67" s="65" t="n"/>
    </row>
    <row r="68">
      <c r="B68" s="60">
        <f>IFERROR('01_Key Requirements &amp; Use Cases'!$B67,"")</f>
        <v/>
      </c>
      <c r="C68" s="61">
        <f>IFERROR('01_Key Requirements &amp; Use Cases'!$C67,"")</f>
        <v/>
      </c>
      <c r="D68" s="62">
        <f>IFERROR('01_Key Requirements &amp; Use Cases'!$D67,"")</f>
        <v/>
      </c>
      <c r="E68" s="8">
        <f>IFERROR('01_Key Requirements &amp; Use Cases'!$E67,"")</f>
        <v/>
      </c>
      <c r="F68" s="63">
        <f>IFERROR('01_Key Requirements &amp; Use Cases'!$F67,"")</f>
        <v/>
      </c>
      <c r="G68" s="64" t="n"/>
      <c r="H68" s="65" t="n"/>
      <c r="I68" s="64" t="n"/>
      <c r="J68" s="65" t="n"/>
      <c r="K68" s="64" t="n"/>
      <c r="L68" s="65" t="n"/>
      <c r="M68" s="64" t="n"/>
      <c r="N68" s="65" t="n"/>
      <c r="O68" s="64" t="n"/>
      <c r="P68" s="65" t="n"/>
      <c r="Q68" s="64" t="n"/>
      <c r="R68" s="65" t="n"/>
    </row>
    <row r="69">
      <c r="B69" s="60">
        <f>IFERROR('01_Key Requirements &amp; Use Cases'!$B68,"")</f>
        <v/>
      </c>
      <c r="C69" s="61">
        <f>IFERROR('01_Key Requirements &amp; Use Cases'!$C68,"")</f>
        <v/>
      </c>
      <c r="D69" s="62">
        <f>IFERROR('01_Key Requirements &amp; Use Cases'!$D68,"")</f>
        <v/>
      </c>
      <c r="E69" s="8">
        <f>IFERROR('01_Key Requirements &amp; Use Cases'!$E68,"")</f>
        <v/>
      </c>
      <c r="F69" s="63">
        <f>IFERROR('01_Key Requirements &amp; Use Cases'!$F68,"")</f>
        <v/>
      </c>
      <c r="G69" s="64" t="n"/>
      <c r="H69" s="65" t="n"/>
      <c r="I69" s="64" t="n"/>
      <c r="J69" s="65" t="n"/>
      <c r="K69" s="64" t="n"/>
      <c r="L69" s="65" t="n"/>
      <c r="M69" s="64" t="n"/>
      <c r="N69" s="65" t="n"/>
      <c r="O69" s="64" t="n"/>
      <c r="P69" s="65" t="n"/>
      <c r="Q69" s="64" t="n"/>
      <c r="R69" s="65" t="n"/>
    </row>
    <row r="70">
      <c r="B70" s="60">
        <f>IFERROR('01_Key Requirements &amp; Use Cases'!$B69,"")</f>
        <v/>
      </c>
      <c r="C70" s="61">
        <f>IFERROR('01_Key Requirements &amp; Use Cases'!$C69,"")</f>
        <v/>
      </c>
      <c r="D70" s="62">
        <f>IFERROR('01_Key Requirements &amp; Use Cases'!$D69,"")</f>
        <v/>
      </c>
      <c r="E70" s="8">
        <f>IFERROR('01_Key Requirements &amp; Use Cases'!$E69,"")</f>
        <v/>
      </c>
      <c r="F70" s="63">
        <f>IFERROR('01_Key Requirements &amp; Use Cases'!$F69,"")</f>
        <v/>
      </c>
      <c r="G70" s="64" t="n"/>
      <c r="H70" s="65" t="n"/>
      <c r="I70" s="64" t="n"/>
      <c r="J70" s="65" t="n"/>
      <c r="K70" s="64" t="n"/>
      <c r="L70" s="65" t="n"/>
      <c r="M70" s="64" t="n"/>
      <c r="N70" s="65" t="n"/>
      <c r="O70" s="64" t="n"/>
      <c r="P70" s="65" t="n"/>
      <c r="Q70" s="64" t="n"/>
      <c r="R70" s="65" t="n"/>
    </row>
    <row r="71">
      <c r="B71" s="60">
        <f>IFERROR('01_Key Requirements &amp; Use Cases'!$B70,"")</f>
        <v/>
      </c>
      <c r="C71" s="61">
        <f>IFERROR('01_Key Requirements &amp; Use Cases'!$C70,"")</f>
        <v/>
      </c>
      <c r="D71" s="62">
        <f>IFERROR('01_Key Requirements &amp; Use Cases'!$D70,"")</f>
        <v/>
      </c>
      <c r="E71" s="8">
        <f>IFERROR('01_Key Requirements &amp; Use Cases'!$E70,"")</f>
        <v/>
      </c>
      <c r="F71" s="63">
        <f>IFERROR('01_Key Requirements &amp; Use Cases'!$F70,"")</f>
        <v/>
      </c>
      <c r="G71" s="64" t="n"/>
      <c r="H71" s="65" t="n"/>
      <c r="I71" s="64" t="n"/>
      <c r="J71" s="65" t="n"/>
      <c r="K71" s="64" t="n"/>
      <c r="L71" s="65" t="n"/>
      <c r="M71" s="64" t="n"/>
      <c r="N71" s="65" t="n"/>
      <c r="O71" s="64" t="n"/>
      <c r="P71" s="65" t="n"/>
      <c r="Q71" s="64" t="n"/>
      <c r="R71" s="65" t="n"/>
    </row>
    <row r="72">
      <c r="B72" s="60">
        <f>IFERROR('01_Key Requirements &amp; Use Cases'!$B71,"")</f>
        <v/>
      </c>
      <c r="C72" s="61">
        <f>IFERROR('01_Key Requirements &amp; Use Cases'!$C71,"")</f>
        <v/>
      </c>
      <c r="D72" s="62">
        <f>IFERROR('01_Key Requirements &amp; Use Cases'!$D71,"")</f>
        <v/>
      </c>
      <c r="E72" s="8">
        <f>IFERROR('01_Key Requirements &amp; Use Cases'!$E71,"")</f>
        <v/>
      </c>
      <c r="F72" s="63">
        <f>IFERROR('01_Key Requirements &amp; Use Cases'!$F71,"")</f>
        <v/>
      </c>
      <c r="G72" s="64" t="n"/>
      <c r="H72" s="65" t="n"/>
      <c r="I72" s="64" t="n"/>
      <c r="J72" s="65" t="n"/>
      <c r="K72" s="64" t="n"/>
      <c r="L72" s="65" t="n"/>
      <c r="M72" s="64" t="n"/>
      <c r="N72" s="65" t="n"/>
      <c r="O72" s="64" t="n"/>
      <c r="P72" s="65" t="n"/>
      <c r="Q72" s="64" t="n"/>
      <c r="R72" s="65" t="n"/>
    </row>
    <row r="73">
      <c r="B73" s="60">
        <f>IFERROR('01_Key Requirements &amp; Use Cases'!$B72,"")</f>
        <v/>
      </c>
      <c r="C73" s="61">
        <f>IFERROR('01_Key Requirements &amp; Use Cases'!$C72,"")</f>
        <v/>
      </c>
      <c r="D73" s="62">
        <f>IFERROR('01_Key Requirements &amp; Use Cases'!$D72,"")</f>
        <v/>
      </c>
      <c r="E73" s="8">
        <f>IFERROR('01_Key Requirements &amp; Use Cases'!$E72,"")</f>
        <v/>
      </c>
      <c r="F73" s="63">
        <f>IFERROR('01_Key Requirements &amp; Use Cases'!$F72,"")</f>
        <v/>
      </c>
      <c r="G73" s="64" t="n"/>
      <c r="H73" s="65" t="n"/>
      <c r="I73" s="64" t="n"/>
      <c r="J73" s="65" t="n"/>
      <c r="K73" s="64" t="n"/>
      <c r="L73" s="65" t="n"/>
      <c r="M73" s="64" t="n"/>
      <c r="N73" s="65" t="n"/>
      <c r="O73" s="64" t="n"/>
      <c r="P73" s="65" t="n"/>
      <c r="Q73" s="64" t="n"/>
      <c r="R73" s="65" t="n"/>
    </row>
    <row r="74">
      <c r="B74" s="60">
        <f>IFERROR('01_Key Requirements &amp; Use Cases'!$B73,"")</f>
        <v/>
      </c>
      <c r="C74" s="61">
        <f>IFERROR('01_Key Requirements &amp; Use Cases'!$C73,"")</f>
        <v/>
      </c>
      <c r="D74" s="62">
        <f>IFERROR('01_Key Requirements &amp; Use Cases'!$D61,"")</f>
        <v/>
      </c>
      <c r="E74" s="8">
        <f>IFERROR('01_Key Requirements &amp; Use Cases'!$E73,"")</f>
        <v/>
      </c>
      <c r="F74" s="63">
        <f>IFERROR('01_Key Requirements &amp; Use Cases'!$F73,"")</f>
        <v/>
      </c>
      <c r="G74" s="64" t="n"/>
      <c r="H74" s="65" t="n"/>
      <c r="I74" s="64" t="n"/>
      <c r="J74" s="65" t="n"/>
      <c r="K74" s="64" t="n"/>
      <c r="L74" s="65" t="n"/>
      <c r="M74" s="64" t="n"/>
      <c r="N74" s="65" t="n"/>
      <c r="O74" s="64" t="n"/>
      <c r="P74" s="65" t="n"/>
      <c r="Q74" s="64" t="n"/>
      <c r="R74" s="65" t="n"/>
    </row>
    <row r="75">
      <c r="B75" s="60">
        <f>IFERROR('01_Key Requirements &amp; Use Cases'!$B74,"")</f>
        <v/>
      </c>
      <c r="C75" s="61">
        <f>IFERROR('01_Key Requirements &amp; Use Cases'!$C74,"")</f>
        <v/>
      </c>
      <c r="D75" s="62">
        <f>IFERROR('01_Key Requirements &amp; Use Cases'!$D62,"")</f>
        <v/>
      </c>
      <c r="E75" s="8">
        <f>IFERROR('01_Key Requirements &amp; Use Cases'!$E74,"")</f>
        <v/>
      </c>
      <c r="F75" s="63">
        <f>IFERROR('01_Key Requirements &amp; Use Cases'!$F74,"")</f>
        <v/>
      </c>
      <c r="G75" s="64" t="n"/>
      <c r="H75" s="65" t="n"/>
      <c r="I75" s="64" t="n"/>
      <c r="J75" s="65" t="n"/>
      <c r="K75" s="64" t="n"/>
      <c r="L75" s="65" t="n"/>
      <c r="M75" s="64" t="n"/>
      <c r="N75" s="65" t="n"/>
      <c r="O75" s="64" t="n"/>
      <c r="P75" s="65" t="n"/>
      <c r="Q75" s="64" t="n"/>
      <c r="R75" s="65" t="n"/>
    </row>
    <row r="76">
      <c r="B76" s="60">
        <f>IFERROR('01_Key Requirements &amp; Use Cases'!$B75,"")</f>
        <v/>
      </c>
      <c r="C76" s="61">
        <f>IFERROR('01_Key Requirements &amp; Use Cases'!$C75,"")</f>
        <v/>
      </c>
      <c r="D76" s="62">
        <f>IFERROR('01_Key Requirements &amp; Use Cases'!$D63,"")</f>
        <v/>
      </c>
      <c r="E76" s="8">
        <f>IFERROR('01_Key Requirements &amp; Use Cases'!$E75,"")</f>
        <v/>
      </c>
      <c r="F76" s="63">
        <f>IFERROR('01_Key Requirements &amp; Use Cases'!$F75,"")</f>
        <v/>
      </c>
      <c r="G76" s="64" t="n"/>
      <c r="H76" s="65" t="n"/>
      <c r="I76" s="64" t="n"/>
      <c r="J76" s="65" t="n"/>
      <c r="K76" s="64" t="n"/>
      <c r="L76" s="65" t="n"/>
      <c r="M76" s="64" t="n"/>
      <c r="N76" s="65" t="n"/>
      <c r="O76" s="64" t="n"/>
      <c r="P76" s="65" t="n"/>
      <c r="Q76" s="64" t="n"/>
      <c r="R76" s="65" t="n"/>
    </row>
    <row r="77">
      <c r="B77" s="60">
        <f>IFERROR('01_Key Requirements &amp; Use Cases'!$B76,"")</f>
        <v/>
      </c>
      <c r="C77" s="61">
        <f>IFERROR('01_Key Requirements &amp; Use Cases'!$C76,"")</f>
        <v/>
      </c>
      <c r="D77" s="62">
        <f>IFERROR('01_Key Requirements &amp; Use Cases'!$D64,"")</f>
        <v/>
      </c>
      <c r="E77" s="8">
        <f>IFERROR('01_Key Requirements &amp; Use Cases'!$E76,"")</f>
        <v/>
      </c>
      <c r="F77" s="63">
        <f>IFERROR('01_Key Requirements &amp; Use Cases'!$F76,"")</f>
        <v/>
      </c>
      <c r="G77" s="64" t="n"/>
      <c r="H77" s="65" t="n"/>
      <c r="I77" s="64" t="n"/>
      <c r="J77" s="65" t="n"/>
      <c r="K77" s="64" t="n"/>
      <c r="L77" s="65" t="n"/>
      <c r="M77" s="64" t="n"/>
      <c r="N77" s="65" t="n"/>
      <c r="O77" s="64" t="n"/>
      <c r="P77" s="65" t="n"/>
      <c r="Q77" s="64" t="n"/>
      <c r="R77" s="65" t="n"/>
    </row>
    <row r="78">
      <c r="B78" s="60">
        <f>IFERROR('01_Key Requirements &amp; Use Cases'!$B77,"")</f>
        <v/>
      </c>
      <c r="C78" s="61">
        <f>IFERROR('01_Key Requirements &amp; Use Cases'!$C77,"")</f>
        <v/>
      </c>
      <c r="D78" s="62">
        <f>IFERROR('01_Key Requirements &amp; Use Cases'!$D65,"")</f>
        <v/>
      </c>
      <c r="E78" s="8">
        <f>IFERROR('01_Key Requirements &amp; Use Cases'!$E77,"")</f>
        <v/>
      </c>
      <c r="F78" s="63">
        <f>IFERROR('01_Key Requirements &amp; Use Cases'!$F77,"")</f>
        <v/>
      </c>
      <c r="G78" s="64" t="n"/>
      <c r="H78" s="65" t="n"/>
      <c r="I78" s="64" t="n"/>
      <c r="J78" s="65" t="n"/>
      <c r="K78" s="64" t="n"/>
      <c r="L78" s="65" t="n"/>
      <c r="M78" s="64" t="n"/>
      <c r="N78" s="65" t="n"/>
      <c r="O78" s="64" t="n"/>
      <c r="P78" s="65" t="n"/>
      <c r="Q78" s="64" t="n"/>
      <c r="R78" s="65" t="n"/>
    </row>
    <row r="79">
      <c r="B79" s="60">
        <f>IFERROR('01_Key Requirements &amp; Use Cases'!$B78,"")</f>
        <v/>
      </c>
      <c r="C79" s="61">
        <f>IFERROR('01_Key Requirements &amp; Use Cases'!$C78,"")</f>
        <v/>
      </c>
      <c r="D79" s="62">
        <f>IFERROR('01_Key Requirements &amp; Use Cases'!$D66,"")</f>
        <v/>
      </c>
      <c r="E79" s="8">
        <f>IFERROR('01_Key Requirements &amp; Use Cases'!$E78,"")</f>
        <v/>
      </c>
      <c r="F79" s="63">
        <f>IFERROR('01_Key Requirements &amp; Use Cases'!$F78,"")</f>
        <v/>
      </c>
      <c r="G79" s="64" t="n"/>
      <c r="H79" s="65" t="n"/>
      <c r="I79" s="64" t="n"/>
      <c r="J79" s="65" t="n"/>
      <c r="K79" s="64" t="n"/>
      <c r="L79" s="65" t="n"/>
      <c r="M79" s="64" t="n"/>
      <c r="N79" s="65" t="n"/>
      <c r="O79" s="64" t="n"/>
      <c r="P79" s="65" t="n"/>
      <c r="Q79" s="64" t="n"/>
      <c r="R79" s="65" t="n"/>
    </row>
    <row r="80">
      <c r="B80" s="60">
        <f>IFERROR('01_Key Requirements &amp; Use Cases'!$B79,"")</f>
        <v/>
      </c>
      <c r="C80" s="61">
        <f>IFERROR('01_Key Requirements &amp; Use Cases'!$C79,"")</f>
        <v/>
      </c>
      <c r="D80" s="62">
        <f>IFERROR('01_Key Requirements &amp; Use Cases'!$D67,"")</f>
        <v/>
      </c>
      <c r="E80" s="8">
        <f>IFERROR('01_Key Requirements &amp; Use Cases'!$E79,"")</f>
        <v/>
      </c>
      <c r="F80" s="63">
        <f>IFERROR('01_Key Requirements &amp; Use Cases'!$F79,"")</f>
        <v/>
      </c>
      <c r="G80" s="64" t="n"/>
      <c r="H80" s="65" t="n"/>
      <c r="I80" s="64" t="n"/>
      <c r="J80" s="65" t="n"/>
      <c r="K80" s="64" t="n"/>
      <c r="L80" s="65" t="n"/>
      <c r="M80" s="64" t="n"/>
      <c r="N80" s="65" t="n"/>
      <c r="O80" s="64" t="n"/>
      <c r="P80" s="65" t="n"/>
      <c r="Q80" s="64" t="n"/>
      <c r="R80" s="65" t="n"/>
    </row>
    <row r="81">
      <c r="B81" s="60">
        <f>IFERROR('01_Key Requirements &amp; Use Cases'!$B80,"")</f>
        <v/>
      </c>
      <c r="C81" s="61">
        <f>IFERROR('01_Key Requirements &amp; Use Cases'!$C80,"")</f>
        <v/>
      </c>
      <c r="D81" s="62">
        <f>IFERROR('01_Key Requirements &amp; Use Cases'!$D68,"")</f>
        <v/>
      </c>
      <c r="E81" s="8">
        <f>IFERROR('01_Key Requirements &amp; Use Cases'!$E80,"")</f>
        <v/>
      </c>
      <c r="F81" s="63">
        <f>IFERROR('01_Key Requirements &amp; Use Cases'!$F80,"")</f>
        <v/>
      </c>
      <c r="G81" s="64" t="n"/>
      <c r="H81" s="65" t="n"/>
      <c r="I81" s="64" t="n"/>
      <c r="J81" s="65" t="n"/>
      <c r="K81" s="64" t="n"/>
      <c r="L81" s="65" t="n"/>
      <c r="M81" s="64" t="n"/>
      <c r="N81" s="65" t="n"/>
      <c r="O81" s="64" t="n"/>
      <c r="P81" s="65" t="n"/>
      <c r="Q81" s="64" t="n"/>
      <c r="R81" s="65" t="n"/>
    </row>
    <row r="82">
      <c r="B82" s="60">
        <f>IFERROR('01_Key Requirements &amp; Use Cases'!$B81,"")</f>
        <v/>
      </c>
      <c r="C82" s="61">
        <f>IFERROR('01_Key Requirements &amp; Use Cases'!$C81,"")</f>
        <v/>
      </c>
      <c r="D82" s="62">
        <f>IFERROR('01_Key Requirements &amp; Use Cases'!$D69,"")</f>
        <v/>
      </c>
      <c r="E82" s="8">
        <f>IFERROR('01_Key Requirements &amp; Use Cases'!$E81,"")</f>
        <v/>
      </c>
      <c r="F82" s="63">
        <f>IFERROR('01_Key Requirements &amp; Use Cases'!$F81,"")</f>
        <v/>
      </c>
      <c r="G82" s="64" t="n"/>
      <c r="H82" s="65" t="n"/>
      <c r="I82" s="64" t="n"/>
      <c r="J82" s="65" t="n"/>
      <c r="K82" s="64" t="n"/>
      <c r="L82" s="65" t="n"/>
      <c r="M82" s="64" t="n"/>
      <c r="N82" s="65" t="n"/>
      <c r="O82" s="64" t="n"/>
      <c r="P82" s="65" t="n"/>
      <c r="Q82" s="64" t="n"/>
      <c r="R82" s="65" t="n"/>
    </row>
    <row r="83">
      <c r="B83" s="60">
        <f>IFERROR('01_Key Requirements &amp; Use Cases'!$B82,"")</f>
        <v/>
      </c>
      <c r="C83" s="61">
        <f>IFERROR('01_Key Requirements &amp; Use Cases'!$C82,"")</f>
        <v/>
      </c>
      <c r="D83" s="62">
        <f>IFERROR('01_Key Requirements &amp; Use Cases'!$D70,"")</f>
        <v/>
      </c>
      <c r="E83" s="8">
        <f>IFERROR('01_Key Requirements &amp; Use Cases'!$E82,"")</f>
        <v/>
      </c>
      <c r="F83" s="63">
        <f>IFERROR('01_Key Requirements &amp; Use Cases'!$F82,"")</f>
        <v/>
      </c>
      <c r="G83" s="64" t="n"/>
      <c r="H83" s="65" t="n"/>
      <c r="I83" s="64" t="n"/>
      <c r="J83" s="65" t="n"/>
      <c r="K83" s="64" t="n"/>
      <c r="L83" s="65" t="n"/>
      <c r="M83" s="64" t="n"/>
      <c r="N83" s="65" t="n"/>
      <c r="O83" s="64" t="n"/>
      <c r="P83" s="65" t="n"/>
      <c r="Q83" s="64" t="n"/>
      <c r="R83" s="65" t="n"/>
    </row>
    <row r="84">
      <c r="B84" s="60">
        <f>IFERROR('01_Key Requirements &amp; Use Cases'!$B83,"")</f>
        <v/>
      </c>
      <c r="C84" s="61">
        <f>IFERROR('01_Key Requirements &amp; Use Cases'!$C83,"")</f>
        <v/>
      </c>
      <c r="D84" s="62">
        <f>IFERROR('01_Key Requirements &amp; Use Cases'!$D71,"")</f>
        <v/>
      </c>
      <c r="E84" s="8">
        <f>IFERROR('01_Key Requirements &amp; Use Cases'!$E71,"")</f>
        <v/>
      </c>
      <c r="F84" s="63">
        <f>IFERROR('01_Key Requirements &amp; Use Cases'!$F71,"")</f>
        <v/>
      </c>
      <c r="G84" s="64" t="n"/>
      <c r="H84" s="65" t="n"/>
      <c r="I84" s="64" t="n"/>
      <c r="J84" s="65" t="n"/>
      <c r="K84" s="64" t="n"/>
      <c r="L84" s="65" t="n"/>
      <c r="M84" s="64" t="n"/>
      <c r="N84" s="65" t="n"/>
      <c r="O84" s="64" t="n"/>
      <c r="P84" s="65" t="n"/>
      <c r="Q84" s="64" t="n"/>
      <c r="R84" s="65" t="n"/>
    </row>
    <row r="85">
      <c r="B85" s="60">
        <f>IFERROR('01_Key Requirements &amp; Use Cases'!$B84,"")</f>
        <v/>
      </c>
      <c r="C85" s="61">
        <f>IFERROR('01_Key Requirements &amp; Use Cases'!$C84,"")</f>
        <v/>
      </c>
      <c r="D85" s="62">
        <f>IFERROR('01_Key Requirements &amp; Use Cases'!$D72,"")</f>
        <v/>
      </c>
      <c r="E85" s="8">
        <f>IFERROR('01_Key Requirements &amp; Use Cases'!$E72,"")</f>
        <v/>
      </c>
      <c r="F85" s="63">
        <f>IFERROR('01_Key Requirements &amp; Use Cases'!$F72,"")</f>
        <v/>
      </c>
      <c r="G85" s="64" t="n"/>
      <c r="H85" s="65" t="n"/>
      <c r="I85" s="64" t="n"/>
      <c r="J85" s="65" t="n"/>
      <c r="K85" s="64" t="n"/>
      <c r="L85" s="65" t="n"/>
      <c r="M85" s="64" t="n"/>
      <c r="N85" s="65" t="n"/>
      <c r="O85" s="64" t="n"/>
      <c r="P85" s="65" t="n"/>
      <c r="Q85" s="64" t="n"/>
      <c r="R85" s="65" t="n"/>
    </row>
    <row r="86">
      <c r="B86" s="60">
        <f>IFERROR('01_Key Requirements &amp; Use Cases'!$B85,"")</f>
        <v/>
      </c>
      <c r="C86" s="61">
        <f>IFERROR('01_Key Requirements &amp; Use Cases'!$C85,"")</f>
        <v/>
      </c>
      <c r="D86" s="62">
        <f>IFERROR('01_Key Requirements &amp; Use Cases'!$D73,"")</f>
        <v/>
      </c>
      <c r="E86" s="8">
        <f>IFERROR('01_Key Requirements &amp; Use Cases'!$E73,"")</f>
        <v/>
      </c>
      <c r="F86" s="63">
        <f>IFERROR('01_Key Requirements &amp; Use Cases'!$F73,"")</f>
        <v/>
      </c>
      <c r="G86" s="64" t="n"/>
      <c r="H86" s="65" t="n"/>
      <c r="I86" s="64" t="n"/>
      <c r="J86" s="65" t="n"/>
      <c r="K86" s="64" t="n"/>
      <c r="L86" s="65" t="n"/>
      <c r="M86" s="64" t="n"/>
      <c r="N86" s="65" t="n"/>
      <c r="O86" s="64" t="n"/>
      <c r="P86" s="65" t="n"/>
      <c r="Q86" s="64" t="n"/>
      <c r="R86" s="65" t="n"/>
    </row>
    <row r="87">
      <c r="B87" s="60">
        <f>IFERROR('01_Key Requirements &amp; Use Cases'!$B86,"")</f>
        <v/>
      </c>
      <c r="C87" s="61">
        <f>IFERROR('01_Key Requirements &amp; Use Cases'!$C86,"")</f>
        <v/>
      </c>
      <c r="D87" s="62">
        <f>IFERROR('01_Key Requirements &amp; Use Cases'!$D74,"")</f>
        <v/>
      </c>
      <c r="E87" s="8">
        <f>IFERROR('01_Key Requirements &amp; Use Cases'!$E74,"")</f>
        <v/>
      </c>
      <c r="F87" s="63">
        <f>IFERROR('01_Key Requirements &amp; Use Cases'!$F74,"")</f>
        <v/>
      </c>
      <c r="G87" s="64" t="n"/>
      <c r="H87" s="65" t="n"/>
      <c r="I87" s="64" t="n"/>
      <c r="J87" s="65" t="n"/>
      <c r="K87" s="64" t="n"/>
      <c r="L87" s="65" t="n"/>
      <c r="M87" s="64" t="n"/>
      <c r="N87" s="65" t="n"/>
      <c r="O87" s="64" t="n"/>
      <c r="P87" s="65" t="n"/>
      <c r="Q87" s="64" t="n"/>
      <c r="R87" s="65" t="n"/>
    </row>
    <row r="88">
      <c r="B88" s="60">
        <f>IFERROR('01_Key Requirements &amp; Use Cases'!$B87,"")</f>
        <v/>
      </c>
      <c r="C88" s="61">
        <f>IFERROR('01_Key Requirements &amp; Use Cases'!$C87,"")</f>
        <v/>
      </c>
      <c r="D88" s="62">
        <f>IFERROR('01_Key Requirements &amp; Use Cases'!$D75,"")</f>
        <v/>
      </c>
      <c r="E88" s="8">
        <f>IFERROR('01_Key Requirements &amp; Use Cases'!$E75,"")</f>
        <v/>
      </c>
      <c r="F88" s="63">
        <f>IFERROR('01_Key Requirements &amp; Use Cases'!$F75,"")</f>
        <v/>
      </c>
      <c r="G88" s="64" t="n"/>
      <c r="H88" s="65" t="n"/>
      <c r="I88" s="64" t="n"/>
      <c r="J88" s="65" t="n"/>
      <c r="K88" s="64" t="n"/>
      <c r="L88" s="65" t="n"/>
      <c r="M88" s="64" t="n"/>
      <c r="N88" s="65" t="n"/>
      <c r="O88" s="64" t="n"/>
      <c r="P88" s="65" t="n"/>
      <c r="Q88" s="64" t="n"/>
      <c r="R88" s="65" t="n"/>
    </row>
    <row r="89">
      <c r="B89" s="60">
        <f>IFERROR('01_Key Requirements &amp; Use Cases'!$B88,"")</f>
        <v/>
      </c>
      <c r="C89" s="61">
        <f>IFERROR('01_Key Requirements &amp; Use Cases'!$C88,"")</f>
        <v/>
      </c>
      <c r="D89" s="62">
        <f>IFERROR('01_Key Requirements &amp; Use Cases'!$D76,"")</f>
        <v/>
      </c>
      <c r="E89" s="8">
        <f>IFERROR('01_Key Requirements &amp; Use Cases'!$E76,"")</f>
        <v/>
      </c>
      <c r="F89" s="63">
        <f>IFERROR('01_Key Requirements &amp; Use Cases'!$F76,"")</f>
        <v/>
      </c>
      <c r="G89" s="64" t="n"/>
      <c r="H89" s="65" t="n"/>
      <c r="I89" s="64" t="n"/>
      <c r="J89" s="65" t="n"/>
      <c r="K89" s="64" t="n"/>
      <c r="L89" s="65" t="n"/>
      <c r="M89" s="64" t="n"/>
      <c r="N89" s="65" t="n"/>
      <c r="O89" s="64" t="n"/>
      <c r="P89" s="65" t="n"/>
      <c r="Q89" s="64" t="n"/>
      <c r="R89" s="65" t="n"/>
    </row>
    <row r="90">
      <c r="B90" s="60">
        <f>IFERROR('01_Key Requirements &amp; Use Cases'!$B89,"")</f>
        <v/>
      </c>
      <c r="C90" s="61">
        <f>IFERROR('01_Key Requirements &amp; Use Cases'!$C89,"")</f>
        <v/>
      </c>
      <c r="D90" s="62">
        <f>IFERROR('01_Key Requirements &amp; Use Cases'!$D77,"")</f>
        <v/>
      </c>
      <c r="E90" s="8">
        <f>IFERROR('01_Key Requirements &amp; Use Cases'!$E77,"")</f>
        <v/>
      </c>
      <c r="F90" s="63">
        <f>IFERROR('01_Key Requirements &amp; Use Cases'!$F77,"")</f>
        <v/>
      </c>
      <c r="G90" s="64" t="n"/>
      <c r="H90" s="65" t="n"/>
      <c r="I90" s="64" t="n"/>
      <c r="J90" s="65" t="n"/>
      <c r="K90" s="64" t="n"/>
      <c r="L90" s="65" t="n"/>
      <c r="M90" s="64" t="n"/>
      <c r="N90" s="65" t="n"/>
      <c r="O90" s="64" t="n"/>
      <c r="P90" s="65" t="n"/>
      <c r="Q90" s="64" t="n"/>
      <c r="R90" s="65" t="n"/>
    </row>
    <row r="91">
      <c r="B91" s="60">
        <f>IFERROR('01_Key Requirements &amp; Use Cases'!$B90,"")</f>
        <v/>
      </c>
      <c r="C91" s="61">
        <f>IFERROR('01_Key Requirements &amp; Use Cases'!$C90,"")</f>
        <v/>
      </c>
      <c r="D91" s="62">
        <f>IFERROR('01_Key Requirements &amp; Use Cases'!$D78,"")</f>
        <v/>
      </c>
      <c r="E91" s="8">
        <f>IFERROR('01_Key Requirements &amp; Use Cases'!$E78,"")</f>
        <v/>
      </c>
      <c r="F91" s="63">
        <f>IFERROR('01_Key Requirements &amp; Use Cases'!$F78,"")</f>
        <v/>
      </c>
      <c r="G91" s="64" t="n"/>
      <c r="H91" s="65" t="n"/>
      <c r="I91" s="64" t="n"/>
      <c r="J91" s="65" t="n"/>
      <c r="K91" s="64" t="n"/>
      <c r="L91" s="65" t="n"/>
      <c r="M91" s="64" t="n"/>
      <c r="N91" s="65" t="n"/>
      <c r="O91" s="64" t="n"/>
      <c r="P91" s="65" t="n"/>
      <c r="Q91" s="64" t="n"/>
      <c r="R91" s="65" t="n"/>
    </row>
    <row r="92">
      <c r="B92" s="60">
        <f>IFERROR('01_Key Requirements &amp; Use Cases'!$B91,"")</f>
        <v/>
      </c>
      <c r="C92" s="61">
        <f>IFERROR('01_Key Requirements &amp; Use Cases'!$C91,"")</f>
        <v/>
      </c>
      <c r="D92" s="62">
        <f>IFERROR('01_Key Requirements &amp; Use Cases'!$D79,"")</f>
        <v/>
      </c>
      <c r="E92" s="8">
        <f>IFERROR('01_Key Requirements &amp; Use Cases'!$E79,"")</f>
        <v/>
      </c>
      <c r="F92" s="63">
        <f>IFERROR('01_Key Requirements &amp; Use Cases'!$F79,"")</f>
        <v/>
      </c>
      <c r="G92" s="64" t="n"/>
      <c r="H92" s="65" t="n"/>
      <c r="I92" s="64" t="n"/>
      <c r="J92" s="65" t="n"/>
      <c r="K92" s="64" t="n"/>
      <c r="L92" s="65" t="n"/>
      <c r="M92" s="64" t="n"/>
      <c r="N92" s="65" t="n"/>
      <c r="O92" s="64" t="n"/>
      <c r="P92" s="65" t="n"/>
      <c r="Q92" s="64" t="n"/>
      <c r="R92" s="65" t="n"/>
    </row>
    <row r="93">
      <c r="B93" s="60">
        <f>IFERROR('01_Key Requirements &amp; Use Cases'!$B92,"")</f>
        <v/>
      </c>
      <c r="C93" s="61">
        <f>IFERROR('01_Key Requirements &amp; Use Cases'!$C92,"")</f>
        <v/>
      </c>
      <c r="D93" s="62">
        <f>IFERROR('01_Key Requirements &amp; Use Cases'!$D80,"")</f>
        <v/>
      </c>
      <c r="E93" s="8">
        <f>IFERROR('01_Key Requirements &amp; Use Cases'!$E80,"")</f>
        <v/>
      </c>
      <c r="F93" s="63">
        <f>IFERROR('01_Key Requirements &amp; Use Cases'!$F80,"")</f>
        <v/>
      </c>
      <c r="G93" s="64" t="n"/>
      <c r="H93" s="65" t="n"/>
      <c r="I93" s="64" t="n"/>
      <c r="J93" s="65" t="n"/>
      <c r="K93" s="64" t="n"/>
      <c r="L93" s="65" t="n"/>
      <c r="M93" s="64" t="n"/>
      <c r="N93" s="65" t="n"/>
      <c r="O93" s="64" t="n"/>
      <c r="P93" s="65" t="n"/>
      <c r="Q93" s="64" t="n"/>
      <c r="R93" s="65" t="n"/>
    </row>
    <row r="94">
      <c r="B94" s="60">
        <f>IFERROR('01_Key Requirements &amp; Use Cases'!$B93,"")</f>
        <v/>
      </c>
      <c r="C94" s="61">
        <f>IFERROR('01_Key Requirements &amp; Use Cases'!$C93,"")</f>
        <v/>
      </c>
      <c r="D94" s="62">
        <f>IFERROR('01_Key Requirements &amp; Use Cases'!$D81,"")</f>
        <v/>
      </c>
      <c r="E94" s="8">
        <f>IFERROR('01_Key Requirements &amp; Use Cases'!$E81,"")</f>
        <v/>
      </c>
      <c r="F94" s="63">
        <f>IFERROR('01_Key Requirements &amp; Use Cases'!$F81,"")</f>
        <v/>
      </c>
      <c r="G94" s="64" t="n"/>
      <c r="H94" s="65" t="n"/>
      <c r="I94" s="64" t="n"/>
      <c r="J94" s="65" t="n"/>
      <c r="K94" s="64" t="n"/>
      <c r="L94" s="65" t="n"/>
      <c r="M94" s="64" t="n"/>
      <c r="N94" s="65" t="n"/>
      <c r="O94" s="64" t="n"/>
      <c r="P94" s="65" t="n"/>
      <c r="Q94" s="64" t="n"/>
      <c r="R94" s="65" t="n"/>
    </row>
    <row r="95">
      <c r="B95" s="60">
        <f>IFERROR('01_Key Requirements &amp; Use Cases'!$B94,"")</f>
        <v/>
      </c>
      <c r="C95" s="61">
        <f>IFERROR('01_Key Requirements &amp; Use Cases'!$C94,"")</f>
        <v/>
      </c>
      <c r="D95" s="62">
        <f>IFERROR('01_Key Requirements &amp; Use Cases'!$D82,"")</f>
        <v/>
      </c>
      <c r="E95" s="8">
        <f>IFERROR('01_Key Requirements &amp; Use Cases'!$E82,"")</f>
        <v/>
      </c>
      <c r="F95" s="63">
        <f>IFERROR('01_Key Requirements &amp; Use Cases'!$F82,"")</f>
        <v/>
      </c>
      <c r="G95" s="64" t="n"/>
      <c r="H95" s="65" t="n"/>
      <c r="I95" s="64" t="n"/>
      <c r="J95" s="65" t="n"/>
      <c r="K95" s="64" t="n"/>
      <c r="L95" s="65" t="n"/>
      <c r="M95" s="64" t="n"/>
      <c r="N95" s="65" t="n"/>
      <c r="O95" s="64" t="n"/>
      <c r="P95" s="65" t="n"/>
      <c r="Q95" s="64" t="n"/>
      <c r="R95" s="65" t="n"/>
    </row>
    <row r="96">
      <c r="B96" s="60">
        <f>IFERROR('01_Key Requirements &amp; Use Cases'!$B95,"")</f>
        <v/>
      </c>
      <c r="C96" s="61">
        <f>IFERROR('01_Key Requirements &amp; Use Cases'!$C95,"")</f>
        <v/>
      </c>
      <c r="D96" s="62">
        <f>IFERROR('01_Key Requirements &amp; Use Cases'!$D83,"")</f>
        <v/>
      </c>
      <c r="E96" s="8">
        <f>IFERROR('01_Key Requirements &amp; Use Cases'!$E83,"")</f>
        <v/>
      </c>
      <c r="F96" s="63">
        <f>IFERROR('01_Key Requirements &amp; Use Cases'!$F83,"")</f>
        <v/>
      </c>
      <c r="G96" s="64" t="n"/>
      <c r="H96" s="65" t="n"/>
      <c r="I96" s="64" t="n"/>
      <c r="J96" s="65" t="n"/>
      <c r="K96" s="64" t="n"/>
      <c r="L96" s="65" t="n"/>
      <c r="M96" s="64" t="n"/>
      <c r="N96" s="65" t="n"/>
      <c r="O96" s="64" t="n"/>
      <c r="P96" s="65" t="n"/>
      <c r="Q96" s="64" t="n"/>
      <c r="R96" s="65" t="n"/>
    </row>
    <row r="97">
      <c r="B97" s="60">
        <f>IFERROR('01_Key Requirements &amp; Use Cases'!$B96,"")</f>
        <v/>
      </c>
      <c r="C97" s="61">
        <f>IFERROR('01_Key Requirements &amp; Use Cases'!$C96,"")</f>
        <v/>
      </c>
      <c r="D97" s="62">
        <f>IFERROR('01_Key Requirements &amp; Use Cases'!$D84,"")</f>
        <v/>
      </c>
      <c r="E97" s="8">
        <f>IFERROR('01_Key Requirements &amp; Use Cases'!$E84,"")</f>
        <v/>
      </c>
      <c r="F97" s="63">
        <f>IFERROR('01_Key Requirements &amp; Use Cases'!$F84,"")</f>
        <v/>
      </c>
      <c r="G97" s="64" t="n"/>
      <c r="H97" s="65" t="n"/>
      <c r="I97" s="64" t="n"/>
      <c r="J97" s="65" t="n"/>
      <c r="K97" s="64" t="n"/>
      <c r="L97" s="65" t="n"/>
      <c r="M97" s="64" t="n"/>
      <c r="N97" s="65" t="n"/>
      <c r="O97" s="64" t="n"/>
      <c r="P97" s="65" t="n"/>
      <c r="Q97" s="64" t="n"/>
      <c r="R97" s="65" t="n"/>
    </row>
    <row r="98">
      <c r="B98" s="60">
        <f>IFERROR('01_Key Requirements &amp; Use Cases'!$B97,"")</f>
        <v/>
      </c>
      <c r="C98" s="61">
        <f>IFERROR('01_Key Requirements &amp; Use Cases'!$C97,"")</f>
        <v/>
      </c>
      <c r="D98" s="62">
        <f>IFERROR('01_Key Requirements &amp; Use Cases'!$D85,"")</f>
        <v/>
      </c>
      <c r="E98" s="8">
        <f>IFERROR('01_Key Requirements &amp; Use Cases'!$E85,"")</f>
        <v/>
      </c>
      <c r="F98" s="63">
        <f>IFERROR('01_Key Requirements &amp; Use Cases'!$F85,"")</f>
        <v/>
      </c>
      <c r="G98" s="64" t="n"/>
      <c r="H98" s="65" t="n"/>
      <c r="I98" s="64" t="n"/>
      <c r="J98" s="65" t="n"/>
      <c r="K98" s="64" t="n"/>
      <c r="L98" s="65" t="n"/>
      <c r="M98" s="64" t="n"/>
      <c r="N98" s="65" t="n"/>
      <c r="O98" s="64" t="n"/>
      <c r="P98" s="65" t="n"/>
      <c r="Q98" s="64" t="n"/>
      <c r="R98" s="65" t="n"/>
    </row>
    <row r="99">
      <c r="B99" s="60">
        <f>IFERROR('01_Key Requirements &amp; Use Cases'!$B98,"")</f>
        <v/>
      </c>
      <c r="C99" s="61">
        <f>IFERROR('01_Key Requirements &amp; Use Cases'!$C98,"")</f>
        <v/>
      </c>
      <c r="D99" s="62">
        <f>IFERROR('01_Key Requirements &amp; Use Cases'!$D86,"")</f>
        <v/>
      </c>
      <c r="E99" s="8">
        <f>IFERROR('01_Key Requirements &amp; Use Cases'!$E86,"")</f>
        <v/>
      </c>
      <c r="F99" s="63">
        <f>IFERROR('01_Key Requirements &amp; Use Cases'!$F86,"")</f>
        <v/>
      </c>
      <c r="G99" s="64" t="n"/>
      <c r="H99" s="65" t="n"/>
      <c r="I99" s="64" t="n"/>
      <c r="J99" s="65" t="n"/>
      <c r="K99" s="64" t="n"/>
      <c r="L99" s="65" t="n"/>
      <c r="M99" s="64" t="n"/>
      <c r="N99" s="65" t="n"/>
      <c r="O99" s="64" t="n"/>
      <c r="P99" s="65" t="n"/>
      <c r="Q99" s="64" t="n"/>
      <c r="R99" s="65" t="n"/>
    </row>
    <row r="100">
      <c r="B100" s="60">
        <f>IFERROR('01_Key Requirements &amp; Use Cases'!$B99,"")</f>
        <v/>
      </c>
      <c r="C100" s="61">
        <f>IFERROR('01_Key Requirements &amp; Use Cases'!$C99,"")</f>
        <v/>
      </c>
      <c r="D100" s="62">
        <f>IFERROR('01_Key Requirements &amp; Use Cases'!$D87,"")</f>
        <v/>
      </c>
      <c r="E100" s="8">
        <f>IFERROR('01_Key Requirements &amp; Use Cases'!$E87,"")</f>
        <v/>
      </c>
      <c r="F100" s="63">
        <f>IFERROR('01_Key Requirements &amp; Use Cases'!$F87,"")</f>
        <v/>
      </c>
      <c r="G100" s="64" t="n"/>
      <c r="H100" s="65" t="n"/>
      <c r="I100" s="64" t="n"/>
      <c r="J100" s="65" t="n"/>
      <c r="K100" s="64" t="n"/>
      <c r="L100" s="65" t="n"/>
      <c r="M100" s="64" t="n"/>
      <c r="N100" s="65" t="n"/>
      <c r="O100" s="64" t="n"/>
      <c r="P100" s="65" t="n"/>
      <c r="Q100" s="64" t="n"/>
      <c r="R100" s="65" t="n"/>
    </row>
    <row r="101">
      <c r="B101" s="60">
        <f>IFERROR('01_Key Requirements &amp; Use Cases'!$B100,"")</f>
        <v/>
      </c>
      <c r="C101" s="61">
        <f>IFERROR('01_Key Requirements &amp; Use Cases'!$C100,"")</f>
        <v/>
      </c>
      <c r="D101" s="62">
        <f>IFERROR('01_Key Requirements &amp; Use Cases'!$D88,"")</f>
        <v/>
      </c>
      <c r="E101" s="8">
        <f>IFERROR('01_Key Requirements &amp; Use Cases'!$E88,"")</f>
        <v/>
      </c>
      <c r="F101" s="63">
        <f>IFERROR('01_Key Requirements &amp; Use Cases'!$F88,"")</f>
        <v/>
      </c>
      <c r="G101" s="64" t="n"/>
      <c r="H101" s="65" t="n"/>
      <c r="I101" s="64" t="n"/>
      <c r="J101" s="65" t="n"/>
      <c r="K101" s="64" t="n"/>
      <c r="L101" s="65" t="n"/>
      <c r="M101" s="64" t="n"/>
      <c r="N101" s="65" t="n"/>
      <c r="O101" s="64" t="n"/>
      <c r="P101" s="65" t="n"/>
      <c r="Q101" s="64" t="n"/>
      <c r="R101" s="65" t="n"/>
    </row>
    <row r="102">
      <c r="B102" s="60">
        <f>IFERROR('01_Key Requirements &amp; Use Cases'!$B101,"")</f>
        <v/>
      </c>
      <c r="C102" s="61">
        <f>IFERROR('01_Key Requirements &amp; Use Cases'!$C101,"")</f>
        <v/>
      </c>
      <c r="D102" s="62">
        <f>IFERROR('01_Key Requirements &amp; Use Cases'!$D89,"")</f>
        <v/>
      </c>
      <c r="E102" s="8">
        <f>IFERROR('01_Key Requirements &amp; Use Cases'!$E89,"")</f>
        <v/>
      </c>
      <c r="F102" s="63">
        <f>IFERROR('01_Key Requirements &amp; Use Cases'!$F89,"")</f>
        <v/>
      </c>
      <c r="G102" s="64" t="n"/>
      <c r="H102" s="65" t="n"/>
      <c r="I102" s="64" t="n"/>
      <c r="J102" s="65" t="n"/>
      <c r="K102" s="64" t="n"/>
      <c r="L102" s="65" t="n"/>
      <c r="M102" s="64" t="n"/>
      <c r="N102" s="65" t="n"/>
      <c r="O102" s="64" t="n"/>
      <c r="P102" s="65" t="n"/>
      <c r="Q102" s="64" t="n"/>
      <c r="R102" s="65" t="n"/>
    </row>
    <row r="103">
      <c r="B103" s="60">
        <f>IFERROR('01_Key Requirements &amp; Use Cases'!$B102,"")</f>
        <v/>
      </c>
      <c r="C103" s="61">
        <f>IFERROR('01_Key Requirements &amp; Use Cases'!$C102,"")</f>
        <v/>
      </c>
      <c r="D103" s="62">
        <f>IFERROR('01_Key Requirements &amp; Use Cases'!$D90,"")</f>
        <v/>
      </c>
      <c r="E103" s="8">
        <f>IFERROR('01_Key Requirements &amp; Use Cases'!$E90,"")</f>
        <v/>
      </c>
      <c r="F103" s="63">
        <f>IFERROR('01_Key Requirements &amp; Use Cases'!$F90,"")</f>
        <v/>
      </c>
      <c r="G103" s="64" t="n"/>
      <c r="H103" s="65" t="n"/>
      <c r="I103" s="64" t="n"/>
      <c r="J103" s="65" t="n"/>
      <c r="K103" s="64" t="n"/>
      <c r="L103" s="65" t="n"/>
      <c r="M103" s="64" t="n"/>
      <c r="N103" s="65" t="n"/>
      <c r="O103" s="64" t="n"/>
      <c r="P103" s="65" t="n"/>
      <c r="Q103" s="64" t="n"/>
      <c r="R103" s="65" t="n"/>
    </row>
    <row r="104">
      <c r="B104" s="60">
        <f>IFERROR('01_Key Requirements &amp; Use Cases'!$B103,"")</f>
        <v/>
      </c>
      <c r="C104" s="61">
        <f>IFERROR('01_Key Requirements &amp; Use Cases'!$C103,"")</f>
        <v/>
      </c>
      <c r="D104" s="62">
        <f>IFERROR('01_Key Requirements &amp; Use Cases'!$D91,"")</f>
        <v/>
      </c>
      <c r="E104" s="8">
        <f>IFERROR('01_Key Requirements &amp; Use Cases'!$E91,"")</f>
        <v/>
      </c>
      <c r="F104" s="63">
        <f>IFERROR('01_Key Requirements &amp; Use Cases'!$F91,"")</f>
        <v/>
      </c>
      <c r="G104" s="64" t="n"/>
      <c r="H104" s="65" t="n"/>
      <c r="I104" s="64" t="n"/>
      <c r="J104" s="65" t="n"/>
      <c r="K104" s="64" t="n"/>
      <c r="L104" s="65" t="n"/>
      <c r="M104" s="64" t="n"/>
      <c r="N104" s="65" t="n"/>
      <c r="O104" s="64" t="n"/>
      <c r="P104" s="65" t="n"/>
      <c r="Q104" s="64" t="n"/>
      <c r="R104" s="65" t="n"/>
    </row>
    <row r="105">
      <c r="B105" s="60">
        <f>IFERROR('01_Key Requirements &amp; Use Cases'!$B104,"")</f>
        <v/>
      </c>
      <c r="C105" s="61">
        <f>IFERROR('01_Key Requirements &amp; Use Cases'!$C104,"")</f>
        <v/>
      </c>
      <c r="D105" s="62">
        <f>IFERROR('01_Key Requirements &amp; Use Cases'!$D92,"")</f>
        <v/>
      </c>
      <c r="E105" s="8">
        <f>IFERROR('01_Key Requirements &amp; Use Cases'!$E92,"")</f>
        <v/>
      </c>
      <c r="F105" s="63">
        <f>IFERROR('01_Key Requirements &amp; Use Cases'!$F92,"")</f>
        <v/>
      </c>
      <c r="G105" s="64" t="n"/>
      <c r="H105" s="65" t="n"/>
      <c r="I105" s="64" t="n"/>
      <c r="J105" s="65" t="n"/>
      <c r="K105" s="64" t="n"/>
      <c r="L105" s="65" t="n"/>
      <c r="M105" s="64" t="n"/>
      <c r="N105" s="65" t="n"/>
      <c r="O105" s="64" t="n"/>
      <c r="P105" s="65" t="n"/>
      <c r="Q105" s="64" t="n"/>
      <c r="R105" s="65" t="n"/>
    </row>
    <row r="106">
      <c r="B106" s="60">
        <f>IFERROR('01_Key Requirements &amp; Use Cases'!$B105,"")</f>
        <v/>
      </c>
      <c r="C106" s="61">
        <f>IFERROR('01_Key Requirements &amp; Use Cases'!$C105,"")</f>
        <v/>
      </c>
      <c r="D106" s="62">
        <f>IFERROR('01_Key Requirements &amp; Use Cases'!$D93,"")</f>
        <v/>
      </c>
      <c r="E106" s="8">
        <f>IFERROR('01_Key Requirements &amp; Use Cases'!$E93,"")</f>
        <v/>
      </c>
      <c r="F106" s="63">
        <f>IFERROR('01_Key Requirements &amp; Use Cases'!$F93,"")</f>
        <v/>
      </c>
      <c r="G106" s="64" t="n"/>
      <c r="H106" s="65" t="n"/>
      <c r="I106" s="64" t="n"/>
      <c r="J106" s="65" t="n"/>
      <c r="K106" s="64" t="n"/>
      <c r="L106" s="65" t="n"/>
      <c r="M106" s="64" t="n"/>
      <c r="N106" s="65" t="n"/>
      <c r="O106" s="64" t="n"/>
      <c r="P106" s="65" t="n"/>
      <c r="Q106" s="64" t="n"/>
      <c r="R106" s="65" t="n"/>
    </row>
    <row r="107">
      <c r="B107" s="60">
        <f>IFERROR('01_Key Requirements &amp; Use Cases'!$B106,"")</f>
        <v/>
      </c>
      <c r="C107" s="61">
        <f>IFERROR('01_Key Requirements &amp; Use Cases'!$C106,"")</f>
        <v/>
      </c>
      <c r="D107" s="62">
        <f>IFERROR('01_Key Requirements &amp; Use Cases'!$D94,"")</f>
        <v/>
      </c>
      <c r="E107" s="8">
        <f>IFERROR('01_Key Requirements &amp; Use Cases'!$E94,"")</f>
        <v/>
      </c>
      <c r="F107" s="63">
        <f>IFERROR('01_Key Requirements &amp; Use Cases'!$F94,"")</f>
        <v/>
      </c>
      <c r="G107" s="64" t="n"/>
      <c r="H107" s="65" t="n"/>
      <c r="I107" s="64" t="n"/>
      <c r="J107" s="65" t="n"/>
      <c r="K107" s="64" t="n"/>
      <c r="L107" s="65" t="n"/>
      <c r="M107" s="64" t="n"/>
      <c r="N107" s="65" t="n"/>
      <c r="O107" s="64" t="n"/>
      <c r="P107" s="65" t="n"/>
      <c r="Q107" s="64" t="n"/>
      <c r="R107" s="65" t="n"/>
    </row>
    <row r="108">
      <c r="B108" s="60">
        <f>IFERROR('01_Key Requirements &amp; Use Cases'!$B107,"")</f>
        <v/>
      </c>
      <c r="C108" s="61">
        <f>IFERROR('01_Key Requirements &amp; Use Cases'!$C107,"")</f>
        <v/>
      </c>
      <c r="D108" s="62">
        <f>IFERROR('01_Key Requirements &amp; Use Cases'!$D95,"")</f>
        <v/>
      </c>
      <c r="E108" s="8">
        <f>IFERROR('01_Key Requirements &amp; Use Cases'!$E95,"")</f>
        <v/>
      </c>
      <c r="F108" s="63">
        <f>IFERROR('01_Key Requirements &amp; Use Cases'!$F95,"")</f>
        <v/>
      </c>
      <c r="G108" s="64" t="n"/>
      <c r="H108" s="65" t="n"/>
      <c r="I108" s="64" t="n"/>
      <c r="J108" s="65" t="n"/>
      <c r="K108" s="64" t="n"/>
      <c r="L108" s="65" t="n"/>
      <c r="M108" s="64" t="n"/>
      <c r="N108" s="65" t="n"/>
      <c r="O108" s="64" t="n"/>
      <c r="P108" s="65" t="n"/>
      <c r="Q108" s="64" t="n"/>
      <c r="R108" s="65" t="n"/>
    </row>
    <row r="109">
      <c r="B109" s="60">
        <f>IFERROR('01_Key Requirements &amp; Use Cases'!$B108,"")</f>
        <v/>
      </c>
      <c r="C109" s="61">
        <f>IFERROR('01_Key Requirements &amp; Use Cases'!$C108,"")</f>
        <v/>
      </c>
      <c r="D109" s="62">
        <f>IFERROR('01_Key Requirements &amp; Use Cases'!$D96,"")</f>
        <v/>
      </c>
      <c r="E109" s="8">
        <f>IFERROR('01_Key Requirements &amp; Use Cases'!$E96,"")</f>
        <v/>
      </c>
      <c r="F109" s="63">
        <f>IFERROR('01_Key Requirements &amp; Use Cases'!$F96,"")</f>
        <v/>
      </c>
      <c r="G109" s="64" t="n"/>
      <c r="H109" s="65" t="n"/>
      <c r="I109" s="64" t="n"/>
      <c r="J109" s="65" t="n"/>
      <c r="K109" s="64" t="n"/>
      <c r="L109" s="65" t="n"/>
      <c r="M109" s="64" t="n"/>
      <c r="N109" s="65" t="n"/>
      <c r="O109" s="64" t="n"/>
      <c r="P109" s="65" t="n"/>
      <c r="Q109" s="64" t="n"/>
      <c r="R109" s="65" t="n"/>
    </row>
    <row r="110">
      <c r="B110" s="60">
        <f>IFERROR('01_Key Requirements &amp; Use Cases'!$B109,"")</f>
        <v/>
      </c>
      <c r="C110" s="61">
        <f>IFERROR('01_Key Requirements &amp; Use Cases'!$C109,"")</f>
        <v/>
      </c>
      <c r="D110" s="62">
        <f>IFERROR('01_Key Requirements &amp; Use Cases'!$D97,"")</f>
        <v/>
      </c>
      <c r="E110" s="8">
        <f>IFERROR('01_Key Requirements &amp; Use Cases'!$E97,"")</f>
        <v/>
      </c>
      <c r="F110" s="63">
        <f>IFERROR('01_Key Requirements &amp; Use Cases'!$F97,"")</f>
        <v/>
      </c>
      <c r="G110" s="64" t="n"/>
      <c r="H110" s="65" t="n"/>
      <c r="I110" s="64" t="n"/>
      <c r="J110" s="65" t="n"/>
      <c r="K110" s="64" t="n"/>
      <c r="L110" s="65" t="n"/>
      <c r="M110" s="64" t="n"/>
      <c r="N110" s="65" t="n"/>
      <c r="O110" s="64" t="n"/>
      <c r="P110" s="65" t="n"/>
      <c r="Q110" s="64" t="n"/>
      <c r="R110" s="65" t="n"/>
    </row>
    <row r="111">
      <c r="B111" s="60">
        <f>IFERROR('01_Key Requirements &amp; Use Cases'!$B110,"")</f>
        <v/>
      </c>
      <c r="C111" s="61">
        <f>IFERROR('01_Key Requirements &amp; Use Cases'!$C110,"")</f>
        <v/>
      </c>
      <c r="D111" s="62">
        <f>IFERROR('01_Key Requirements &amp; Use Cases'!$D98,"")</f>
        <v/>
      </c>
      <c r="E111" s="8">
        <f>IFERROR('01_Key Requirements &amp; Use Cases'!$E98,"")</f>
        <v/>
      </c>
      <c r="F111" s="63">
        <f>IFERROR('01_Key Requirements &amp; Use Cases'!$F98,"")</f>
        <v/>
      </c>
      <c r="G111" s="64" t="n"/>
      <c r="H111" s="65" t="n"/>
      <c r="I111" s="64" t="n"/>
      <c r="J111" s="65" t="n"/>
      <c r="K111" s="64" t="n"/>
      <c r="L111" s="65" t="n"/>
      <c r="M111" s="64" t="n"/>
      <c r="N111" s="65" t="n"/>
      <c r="O111" s="64" t="n"/>
      <c r="P111" s="65" t="n"/>
      <c r="Q111" s="64" t="n"/>
      <c r="R111" s="65" t="n"/>
    </row>
    <row r="112">
      <c r="B112" s="60">
        <f>IFERROR('01_Key Requirements &amp; Use Cases'!$B111,"")</f>
        <v/>
      </c>
      <c r="C112" s="61">
        <f>IFERROR('01_Key Requirements &amp; Use Cases'!$C111,"")</f>
        <v/>
      </c>
      <c r="D112" s="62">
        <f>IFERROR('01_Key Requirements &amp; Use Cases'!$D99,"")</f>
        <v/>
      </c>
      <c r="E112" s="8">
        <f>IFERROR('01_Key Requirements &amp; Use Cases'!$E99,"")</f>
        <v/>
      </c>
      <c r="F112" s="63">
        <f>IFERROR('01_Key Requirements &amp; Use Cases'!$F99,"")</f>
        <v/>
      </c>
      <c r="G112" s="64" t="n"/>
      <c r="H112" s="65" t="n"/>
      <c r="I112" s="64" t="n"/>
      <c r="J112" s="65" t="n"/>
      <c r="K112" s="64" t="n"/>
      <c r="L112" s="65" t="n"/>
      <c r="M112" s="64" t="n"/>
      <c r="N112" s="65" t="n"/>
      <c r="O112" s="64" t="n"/>
      <c r="P112" s="65" t="n"/>
      <c r="Q112" s="64" t="n"/>
      <c r="R112" s="65" t="n"/>
    </row>
    <row r="113">
      <c r="B113" s="60">
        <f>IFERROR('01_Key Requirements &amp; Use Cases'!$B112,"")</f>
        <v/>
      </c>
      <c r="C113" s="61">
        <f>IFERROR('01_Key Requirements &amp; Use Cases'!$C112,"")</f>
        <v/>
      </c>
      <c r="D113" s="62">
        <f>IFERROR('01_Key Requirements &amp; Use Cases'!$D100,"")</f>
        <v/>
      </c>
      <c r="E113" s="8">
        <f>IFERROR('01_Key Requirements &amp; Use Cases'!$E100,"")</f>
        <v/>
      </c>
      <c r="F113" s="63">
        <f>IFERROR('01_Key Requirements &amp; Use Cases'!$F100,"")</f>
        <v/>
      </c>
      <c r="G113" s="64" t="n"/>
      <c r="H113" s="65" t="n"/>
      <c r="I113" s="64" t="n"/>
      <c r="J113" s="65" t="n"/>
      <c r="K113" s="64" t="n"/>
      <c r="L113" s="65" t="n"/>
      <c r="M113" s="64" t="n"/>
      <c r="N113" s="65" t="n"/>
      <c r="O113" s="64" t="n"/>
      <c r="P113" s="65" t="n"/>
      <c r="Q113" s="64" t="n"/>
      <c r="R113" s="65" t="n"/>
    </row>
    <row r="114">
      <c r="B114" s="60">
        <f>IFERROR('01_Key Requirements &amp; Use Cases'!$B113,"")</f>
        <v/>
      </c>
      <c r="C114" s="61">
        <f>IFERROR('01_Key Requirements &amp; Use Cases'!$C113,"")</f>
        <v/>
      </c>
      <c r="D114" s="62">
        <f>IFERROR('01_Key Requirements &amp; Use Cases'!$D101,"")</f>
        <v/>
      </c>
      <c r="E114" s="8">
        <f>IFERROR('01_Key Requirements &amp; Use Cases'!$E101,"")</f>
        <v/>
      </c>
      <c r="F114" s="63">
        <f>IFERROR('01_Key Requirements &amp; Use Cases'!$F101,"")</f>
        <v/>
      </c>
      <c r="G114" s="64" t="n"/>
      <c r="H114" s="65" t="n"/>
      <c r="I114" s="64" t="n"/>
      <c r="J114" s="65" t="n"/>
      <c r="K114" s="64" t="n"/>
      <c r="L114" s="65" t="n"/>
      <c r="M114" s="64" t="n"/>
      <c r="N114" s="65" t="n"/>
      <c r="O114" s="64" t="n"/>
      <c r="P114" s="65" t="n"/>
      <c r="Q114" s="64" t="n"/>
      <c r="R114" s="65" t="n"/>
    </row>
    <row r="115">
      <c r="B115" s="60">
        <f>IFERROR('01_Key Requirements &amp; Use Cases'!$B114,"")</f>
        <v/>
      </c>
      <c r="C115" s="61">
        <f>IFERROR('01_Key Requirements &amp; Use Cases'!$C114,"")</f>
        <v/>
      </c>
      <c r="D115" s="62">
        <f>IFERROR('01_Key Requirements &amp; Use Cases'!$D102,"")</f>
        <v/>
      </c>
      <c r="E115" s="8">
        <f>IFERROR('01_Key Requirements &amp; Use Cases'!$E102,"")</f>
        <v/>
      </c>
      <c r="F115" s="63">
        <f>IFERROR('01_Key Requirements &amp; Use Cases'!$F102,"")</f>
        <v/>
      </c>
      <c r="G115" s="64" t="n"/>
      <c r="H115" s="65" t="n"/>
      <c r="I115" s="64" t="n"/>
      <c r="J115" s="65" t="n"/>
      <c r="K115" s="64" t="n"/>
      <c r="L115" s="65" t="n"/>
      <c r="M115" s="64" t="n"/>
      <c r="N115" s="65" t="n"/>
      <c r="O115" s="64" t="n"/>
      <c r="P115" s="65" t="n"/>
      <c r="Q115" s="64" t="n"/>
      <c r="R115" s="65" t="n"/>
    </row>
    <row r="116">
      <c r="B116" s="60">
        <f>IFERROR('01_Key Requirements &amp; Use Cases'!$B115,"")</f>
        <v/>
      </c>
      <c r="C116" s="61">
        <f>IFERROR('01_Key Requirements &amp; Use Cases'!$C115,"")</f>
        <v/>
      </c>
      <c r="D116" s="62">
        <f>IFERROR('01_Key Requirements &amp; Use Cases'!$D103,"")</f>
        <v/>
      </c>
      <c r="E116" s="8">
        <f>IFERROR('01_Key Requirements &amp; Use Cases'!$E103,"")</f>
        <v/>
      </c>
      <c r="F116" s="63">
        <f>IFERROR('01_Key Requirements &amp; Use Cases'!$F103,"")</f>
        <v/>
      </c>
      <c r="G116" s="64" t="n"/>
      <c r="H116" s="65" t="n"/>
      <c r="I116" s="64" t="n"/>
      <c r="J116" s="65" t="n"/>
      <c r="K116" s="64" t="n"/>
      <c r="L116" s="65" t="n"/>
      <c r="M116" s="64" t="n"/>
      <c r="N116" s="65" t="n"/>
      <c r="O116" s="64" t="n"/>
      <c r="P116" s="65" t="n"/>
      <c r="Q116" s="64" t="n"/>
      <c r="R116" s="65" t="n"/>
    </row>
    <row r="117">
      <c r="B117" s="60">
        <f>IFERROR('01_Key Requirements &amp; Use Cases'!$B116,"")</f>
        <v/>
      </c>
      <c r="C117" s="61">
        <f>IFERROR('01_Key Requirements &amp; Use Cases'!$C116,"")</f>
        <v/>
      </c>
      <c r="D117" s="62">
        <f>IFERROR('01_Key Requirements &amp; Use Cases'!$D104,"")</f>
        <v/>
      </c>
      <c r="E117" s="8">
        <f>IFERROR('01_Key Requirements &amp; Use Cases'!$E104,"")</f>
        <v/>
      </c>
      <c r="F117" s="63">
        <f>IFERROR('01_Key Requirements &amp; Use Cases'!$F104,"")</f>
        <v/>
      </c>
      <c r="G117" s="64" t="n"/>
      <c r="H117" s="65" t="n"/>
      <c r="I117" s="64" t="n"/>
      <c r="J117" s="65" t="n"/>
      <c r="K117" s="64" t="n"/>
      <c r="L117" s="65" t="n"/>
      <c r="M117" s="64" t="n"/>
      <c r="N117" s="65" t="n"/>
      <c r="O117" s="64" t="n"/>
      <c r="P117" s="65" t="n"/>
      <c r="Q117" s="64" t="n"/>
      <c r="R117" s="65" t="n"/>
    </row>
    <row r="118">
      <c r="B118" s="60">
        <f>IFERROR('01_Key Requirements &amp; Use Cases'!$B117,"")</f>
        <v/>
      </c>
      <c r="C118" s="61">
        <f>IFERROR('01_Key Requirements &amp; Use Cases'!$C117,"")</f>
        <v/>
      </c>
      <c r="D118" s="62">
        <f>IFERROR('01_Key Requirements &amp; Use Cases'!$D105,"")</f>
        <v/>
      </c>
      <c r="E118" s="8">
        <f>IFERROR('01_Key Requirements &amp; Use Cases'!$E105,"")</f>
        <v/>
      </c>
      <c r="F118" s="63">
        <f>IFERROR('01_Key Requirements &amp; Use Cases'!$F105,"")</f>
        <v/>
      </c>
      <c r="G118" s="64" t="n"/>
      <c r="H118" s="65" t="n"/>
      <c r="I118" s="64" t="n"/>
      <c r="J118" s="65" t="n"/>
      <c r="K118" s="64" t="n"/>
      <c r="L118" s="65" t="n"/>
      <c r="M118" s="64" t="n"/>
      <c r="N118" s="65" t="n"/>
      <c r="O118" s="64" t="n"/>
      <c r="P118" s="65" t="n"/>
      <c r="Q118" s="64" t="n"/>
      <c r="R118" s="65" t="n"/>
    </row>
    <row r="119">
      <c r="B119" s="60">
        <f>IFERROR('01_Key Requirements &amp; Use Cases'!$B118,"")</f>
        <v/>
      </c>
      <c r="C119" s="61">
        <f>IFERROR('01_Key Requirements &amp; Use Cases'!$C118,"")</f>
        <v/>
      </c>
      <c r="D119" s="62">
        <f>IFERROR('01_Key Requirements &amp; Use Cases'!$D106,"")</f>
        <v/>
      </c>
      <c r="E119" s="8">
        <f>IFERROR('01_Key Requirements &amp; Use Cases'!$E106,"")</f>
        <v/>
      </c>
      <c r="F119" s="63">
        <f>IFERROR('01_Key Requirements &amp; Use Cases'!$F106,"")</f>
        <v/>
      </c>
      <c r="G119" s="64" t="n"/>
      <c r="H119" s="65" t="n"/>
      <c r="I119" s="64" t="n"/>
      <c r="J119" s="65" t="n"/>
      <c r="K119" s="64" t="n"/>
      <c r="L119" s="65" t="n"/>
      <c r="M119" s="64" t="n"/>
      <c r="N119" s="65" t="n"/>
      <c r="O119" s="64" t="n"/>
      <c r="P119" s="65" t="n"/>
      <c r="Q119" s="64" t="n"/>
      <c r="R119" s="65" t="n"/>
    </row>
    <row r="120">
      <c r="B120" s="60">
        <f>IFERROR('01_Key Requirements &amp; Use Cases'!$B119,"")</f>
        <v/>
      </c>
      <c r="C120" s="61">
        <f>IFERROR('01_Key Requirements &amp; Use Cases'!$C119,"")</f>
        <v/>
      </c>
      <c r="D120" s="62">
        <f>IFERROR('01_Key Requirements &amp; Use Cases'!$D107,"")</f>
        <v/>
      </c>
      <c r="E120" s="8">
        <f>IFERROR('01_Key Requirements &amp; Use Cases'!$E107,"")</f>
        <v/>
      </c>
      <c r="F120" s="63">
        <f>IFERROR('01_Key Requirements &amp; Use Cases'!$F107,"")</f>
        <v/>
      </c>
      <c r="G120" s="64" t="n"/>
      <c r="H120" s="65" t="n"/>
      <c r="I120" s="64" t="n"/>
      <c r="J120" s="65" t="n"/>
      <c r="K120" s="64" t="n"/>
      <c r="L120" s="65" t="n"/>
      <c r="M120" s="64" t="n"/>
      <c r="N120" s="65" t="n"/>
      <c r="O120" s="64" t="n"/>
      <c r="P120" s="65" t="n"/>
      <c r="Q120" s="64" t="n"/>
      <c r="R120" s="65" t="n"/>
    </row>
    <row r="121">
      <c r="B121" s="60">
        <f>IFERROR('01_Key Requirements &amp; Use Cases'!$B120,"")</f>
        <v/>
      </c>
      <c r="C121" s="61">
        <f>IFERROR('01_Key Requirements &amp; Use Cases'!$C120,"")</f>
        <v/>
      </c>
      <c r="D121" s="62">
        <f>IFERROR('01_Key Requirements &amp; Use Cases'!$D108,"")</f>
        <v/>
      </c>
      <c r="E121" s="8">
        <f>IFERROR('01_Key Requirements &amp; Use Cases'!$E108,"")</f>
        <v/>
      </c>
      <c r="F121" s="63">
        <f>IFERROR('01_Key Requirements &amp; Use Cases'!$F108,"")</f>
        <v/>
      </c>
      <c r="G121" s="64" t="n"/>
      <c r="H121" s="65" t="n"/>
      <c r="I121" s="64" t="n"/>
      <c r="J121" s="65" t="n"/>
      <c r="K121" s="64" t="n"/>
      <c r="L121" s="65" t="n"/>
      <c r="M121" s="64" t="n"/>
      <c r="N121" s="65" t="n"/>
      <c r="O121" s="64" t="n"/>
      <c r="P121" s="65" t="n"/>
      <c r="Q121" s="64" t="n"/>
      <c r="R121" s="65" t="n"/>
    </row>
    <row r="122">
      <c r="B122" s="60">
        <f>IFERROR('01_Key Requirements &amp; Use Cases'!$B121,"")</f>
        <v/>
      </c>
      <c r="C122" s="61">
        <f>IFERROR('01_Key Requirements &amp; Use Cases'!$C121,"")</f>
        <v/>
      </c>
      <c r="D122" s="62">
        <f>IFERROR('01_Key Requirements &amp; Use Cases'!$D109,"")</f>
        <v/>
      </c>
      <c r="E122" s="8">
        <f>IFERROR('01_Key Requirements &amp; Use Cases'!$E109,"")</f>
        <v/>
      </c>
      <c r="F122" s="63">
        <f>IFERROR('01_Key Requirements &amp; Use Cases'!$F109,"")</f>
        <v/>
      </c>
      <c r="G122" s="64" t="n"/>
      <c r="H122" s="65" t="n"/>
      <c r="I122" s="64" t="n"/>
      <c r="J122" s="65" t="n"/>
      <c r="K122" s="64" t="n"/>
      <c r="L122" s="65" t="n"/>
      <c r="M122" s="64" t="n"/>
      <c r="N122" s="65" t="n"/>
      <c r="O122" s="64" t="n"/>
      <c r="P122" s="65" t="n"/>
      <c r="Q122" s="64" t="n"/>
      <c r="R122" s="65" t="n"/>
    </row>
    <row r="123">
      <c r="B123" s="60">
        <f>IFERROR('01_Key Requirements &amp; Use Cases'!$B122,"")</f>
        <v/>
      </c>
      <c r="C123" s="61">
        <f>IFERROR('01_Key Requirements &amp; Use Cases'!$C122,"")</f>
        <v/>
      </c>
      <c r="D123" s="62">
        <f>IFERROR('01_Key Requirements &amp; Use Cases'!$D110,"")</f>
        <v/>
      </c>
      <c r="E123" s="8">
        <f>IFERROR('01_Key Requirements &amp; Use Cases'!$E110,"")</f>
        <v/>
      </c>
      <c r="F123" s="63">
        <f>IFERROR('01_Key Requirements &amp; Use Cases'!$F110,"")</f>
        <v/>
      </c>
      <c r="G123" s="64" t="n"/>
      <c r="H123" s="65" t="n"/>
      <c r="I123" s="64" t="n"/>
      <c r="J123" s="65" t="n"/>
      <c r="K123" s="64" t="n"/>
      <c r="L123" s="65" t="n"/>
      <c r="M123" s="64" t="n"/>
      <c r="N123" s="65" t="n"/>
      <c r="O123" s="64" t="n"/>
      <c r="P123" s="65" t="n"/>
      <c r="Q123" s="64" t="n"/>
      <c r="R123" s="65" t="n"/>
    </row>
    <row r="124">
      <c r="B124" s="60">
        <f>IFERROR('01_Key Requirements &amp; Use Cases'!$B123,"")</f>
        <v/>
      </c>
      <c r="C124" s="61">
        <f>IFERROR('01_Key Requirements &amp; Use Cases'!$C123,"")</f>
        <v/>
      </c>
      <c r="D124" s="62">
        <f>IFERROR('01_Key Requirements &amp; Use Cases'!$D111,"")</f>
        <v/>
      </c>
      <c r="E124" s="8">
        <f>IFERROR('01_Key Requirements &amp; Use Cases'!$E111,"")</f>
        <v/>
      </c>
      <c r="F124" s="63">
        <f>IFERROR('01_Key Requirements &amp; Use Cases'!$F111,"")</f>
        <v/>
      </c>
      <c r="G124" s="64" t="n"/>
      <c r="H124" s="65" t="n"/>
      <c r="I124" s="64" t="n"/>
      <c r="J124" s="65" t="n"/>
      <c r="K124" s="64" t="n"/>
      <c r="L124" s="65" t="n"/>
      <c r="M124" s="64" t="n"/>
      <c r="N124" s="65" t="n"/>
      <c r="O124" s="64" t="n"/>
      <c r="P124" s="65" t="n"/>
      <c r="Q124" s="64" t="n"/>
      <c r="R124" s="65" t="n"/>
    </row>
    <row r="125">
      <c r="B125" s="60">
        <f>IFERROR('01_Key Requirements &amp; Use Cases'!$B124,"")</f>
        <v/>
      </c>
      <c r="C125" s="61">
        <f>IFERROR('01_Key Requirements &amp; Use Cases'!$C124,"")</f>
        <v/>
      </c>
      <c r="D125" s="62">
        <f>IFERROR('01_Key Requirements &amp; Use Cases'!$D112,"")</f>
        <v/>
      </c>
      <c r="E125" s="8">
        <f>IFERROR('01_Key Requirements &amp; Use Cases'!$E112,"")</f>
        <v/>
      </c>
      <c r="F125" s="63">
        <f>IFERROR('01_Key Requirements &amp; Use Cases'!$F112,"")</f>
        <v/>
      </c>
      <c r="G125" s="64" t="n"/>
      <c r="H125" s="65" t="n"/>
      <c r="I125" s="64" t="n"/>
      <c r="J125" s="65" t="n"/>
      <c r="K125" s="64" t="n"/>
      <c r="L125" s="65" t="n"/>
      <c r="M125" s="64" t="n"/>
      <c r="N125" s="65" t="n"/>
      <c r="O125" s="64" t="n"/>
      <c r="P125" s="65" t="n"/>
      <c r="Q125" s="64" t="n"/>
      <c r="R125" s="65" t="n"/>
    </row>
    <row r="126">
      <c r="B126" s="60">
        <f>IFERROR('01_Key Requirements &amp; Use Cases'!$B125,"")</f>
        <v/>
      </c>
      <c r="C126" s="61">
        <f>IFERROR('01_Key Requirements &amp; Use Cases'!$C125,"")</f>
        <v/>
      </c>
      <c r="D126" s="62">
        <f>IFERROR('01_Key Requirements &amp; Use Cases'!$D113,"")</f>
        <v/>
      </c>
      <c r="E126" s="8">
        <f>IFERROR('01_Key Requirements &amp; Use Cases'!$E113,"")</f>
        <v/>
      </c>
      <c r="F126" s="63">
        <f>IFERROR('01_Key Requirements &amp; Use Cases'!$F113,"")</f>
        <v/>
      </c>
      <c r="G126" s="64" t="n"/>
      <c r="H126" s="65" t="n"/>
      <c r="I126" s="64" t="n"/>
      <c r="J126" s="65" t="n"/>
      <c r="K126" s="64" t="n"/>
      <c r="L126" s="65" t="n"/>
      <c r="M126" s="64" t="n"/>
      <c r="N126" s="65" t="n"/>
      <c r="O126" s="64" t="n"/>
      <c r="P126" s="65" t="n"/>
      <c r="Q126" s="64" t="n"/>
      <c r="R126" s="65" t="n"/>
    </row>
    <row r="127">
      <c r="B127" s="60">
        <f>IFERROR('01_Key Requirements &amp; Use Cases'!$B126,"")</f>
        <v/>
      </c>
      <c r="C127" s="61">
        <f>IFERROR('01_Key Requirements &amp; Use Cases'!$C126,"")</f>
        <v/>
      </c>
      <c r="D127" s="62">
        <f>IFERROR('01_Key Requirements &amp; Use Cases'!$D114,"")</f>
        <v/>
      </c>
      <c r="E127" s="8">
        <f>IFERROR('01_Key Requirements &amp; Use Cases'!$E114,"")</f>
        <v/>
      </c>
      <c r="F127" s="63">
        <f>IFERROR('01_Key Requirements &amp; Use Cases'!$F114,"")</f>
        <v/>
      </c>
      <c r="G127" s="64" t="n"/>
      <c r="H127" s="65" t="n"/>
      <c r="I127" s="64" t="n"/>
      <c r="J127" s="65" t="n"/>
      <c r="K127" s="64" t="n"/>
      <c r="L127" s="65" t="n"/>
      <c r="M127" s="64" t="n"/>
      <c r="N127" s="65" t="n"/>
      <c r="O127" s="64" t="n"/>
      <c r="P127" s="65" t="n"/>
      <c r="Q127" s="64" t="n"/>
      <c r="R127" s="65" t="n"/>
    </row>
    <row r="128">
      <c r="B128" s="60">
        <f>IFERROR('01_Key Requirements &amp; Use Cases'!$B127,"")</f>
        <v/>
      </c>
      <c r="C128" s="61">
        <f>IFERROR('01_Key Requirements &amp; Use Cases'!$C127,"")</f>
        <v/>
      </c>
      <c r="D128" s="62">
        <f>IFERROR('01_Key Requirements &amp; Use Cases'!$D115,"")</f>
        <v/>
      </c>
      <c r="E128" s="8">
        <f>IFERROR('01_Key Requirements &amp; Use Cases'!$E115,"")</f>
        <v/>
      </c>
      <c r="F128" s="63">
        <f>IFERROR('01_Key Requirements &amp; Use Cases'!$F115,"")</f>
        <v/>
      </c>
      <c r="G128" s="64" t="n"/>
      <c r="H128" s="65" t="n"/>
      <c r="I128" s="64" t="n"/>
      <c r="J128" s="65" t="n"/>
      <c r="K128" s="64" t="n"/>
      <c r="L128" s="65" t="n"/>
      <c r="M128" s="64" t="n"/>
      <c r="N128" s="65" t="n"/>
      <c r="O128" s="64" t="n"/>
      <c r="P128" s="65" t="n"/>
      <c r="Q128" s="64" t="n"/>
      <c r="R128" s="65" t="n"/>
    </row>
    <row r="129">
      <c r="B129" s="60">
        <f>IFERROR('01_Key Requirements &amp; Use Cases'!$B128,"")</f>
        <v/>
      </c>
      <c r="C129" s="61">
        <f>IFERROR('01_Key Requirements &amp; Use Cases'!$C128,"")</f>
        <v/>
      </c>
      <c r="D129" s="62">
        <f>IFERROR('01_Key Requirements &amp; Use Cases'!$D116,"")</f>
        <v/>
      </c>
      <c r="E129" s="8">
        <f>IFERROR('01_Key Requirements &amp; Use Cases'!$E116,"")</f>
        <v/>
      </c>
      <c r="F129" s="63">
        <f>IFERROR('01_Key Requirements &amp; Use Cases'!$F116,"")</f>
        <v/>
      </c>
      <c r="G129" s="64" t="n"/>
      <c r="H129" s="65" t="n"/>
      <c r="I129" s="64" t="n"/>
      <c r="J129" s="65" t="n"/>
      <c r="K129" s="64" t="n"/>
      <c r="L129" s="65" t="n"/>
      <c r="M129" s="64" t="n"/>
      <c r="N129" s="65" t="n"/>
      <c r="O129" s="64" t="n"/>
      <c r="P129" s="65" t="n"/>
      <c r="Q129" s="64" t="n"/>
      <c r="R129" s="65" t="n"/>
    </row>
    <row r="130">
      <c r="B130" s="60">
        <f>IFERROR('01_Key Requirements &amp; Use Cases'!$B129,"")</f>
        <v/>
      </c>
      <c r="C130" s="61">
        <f>IFERROR('01_Key Requirements &amp; Use Cases'!$C129,"")</f>
        <v/>
      </c>
      <c r="D130" s="62">
        <f>IFERROR('01_Key Requirements &amp; Use Cases'!$D117,"")</f>
        <v/>
      </c>
      <c r="E130" s="8">
        <f>IFERROR('01_Key Requirements &amp; Use Cases'!$E117,"")</f>
        <v/>
      </c>
      <c r="F130" s="63">
        <f>IFERROR('01_Key Requirements &amp; Use Cases'!$F117,"")</f>
        <v/>
      </c>
      <c r="G130" s="64" t="n"/>
      <c r="H130" s="65" t="n"/>
      <c r="I130" s="64" t="n"/>
      <c r="J130" s="65" t="n"/>
      <c r="K130" s="64" t="n"/>
      <c r="L130" s="65" t="n"/>
      <c r="M130" s="64" t="n"/>
      <c r="N130" s="65" t="n"/>
      <c r="O130" s="64" t="n"/>
      <c r="P130" s="65" t="n"/>
      <c r="Q130" s="64" t="n"/>
      <c r="R130" s="65" t="n"/>
    </row>
    <row r="131">
      <c r="B131" s="60">
        <f>IFERROR('01_Key Requirements &amp; Use Cases'!$B130,"")</f>
        <v/>
      </c>
      <c r="C131" s="61">
        <f>IFERROR('01_Key Requirements &amp; Use Cases'!$C130,"")</f>
        <v/>
      </c>
      <c r="D131" s="62">
        <f>IFERROR('01_Key Requirements &amp; Use Cases'!$D118,"")</f>
        <v/>
      </c>
      <c r="E131" s="8">
        <f>IFERROR('01_Key Requirements &amp; Use Cases'!$E118,"")</f>
        <v/>
      </c>
      <c r="F131" s="63">
        <f>IFERROR('01_Key Requirements &amp; Use Cases'!$F118,"")</f>
        <v/>
      </c>
      <c r="G131" s="64" t="n"/>
      <c r="H131" s="65" t="n"/>
      <c r="I131" s="64" t="n"/>
      <c r="J131" s="65" t="n"/>
      <c r="K131" s="64" t="n"/>
      <c r="L131" s="65" t="n"/>
      <c r="M131" s="64" t="n"/>
      <c r="N131" s="65" t="n"/>
      <c r="O131" s="64" t="n"/>
      <c r="P131" s="65" t="n"/>
      <c r="Q131" s="64" t="n"/>
      <c r="R131" s="65" t="n"/>
    </row>
    <row r="132">
      <c r="B132" s="60">
        <f>IFERROR('01_Key Requirements &amp; Use Cases'!$B131,"")</f>
        <v/>
      </c>
      <c r="C132" s="61">
        <f>IFERROR('01_Key Requirements &amp; Use Cases'!$C131,"")</f>
        <v/>
      </c>
      <c r="D132" s="62">
        <f>IFERROR('01_Key Requirements &amp; Use Cases'!$D119,"")</f>
        <v/>
      </c>
      <c r="E132" s="8">
        <f>IFERROR('01_Key Requirements &amp; Use Cases'!$E119,"")</f>
        <v/>
      </c>
      <c r="F132" s="63">
        <f>IFERROR('01_Key Requirements &amp; Use Cases'!$F119,"")</f>
        <v/>
      </c>
      <c r="G132" s="64" t="n"/>
      <c r="H132" s="65" t="n"/>
      <c r="I132" s="64" t="n"/>
      <c r="J132" s="65" t="n"/>
      <c r="K132" s="64" t="n"/>
      <c r="L132" s="65" t="n"/>
      <c r="M132" s="64" t="n"/>
      <c r="N132" s="65" t="n"/>
      <c r="O132" s="64" t="n"/>
      <c r="P132" s="65" t="n"/>
      <c r="Q132" s="64" t="n"/>
      <c r="R132" s="65" t="n"/>
    </row>
    <row r="133">
      <c r="B133" s="60">
        <f>IFERROR('01_Key Requirements &amp; Use Cases'!$B132,"")</f>
        <v/>
      </c>
      <c r="C133" s="61">
        <f>IFERROR('01_Key Requirements &amp; Use Cases'!$C132,"")</f>
        <v/>
      </c>
      <c r="D133" s="62">
        <f>IFERROR('01_Key Requirements &amp; Use Cases'!$D120,"")</f>
        <v/>
      </c>
      <c r="E133" s="8">
        <f>IFERROR('01_Key Requirements &amp; Use Cases'!$E120,"")</f>
        <v/>
      </c>
      <c r="F133" s="63">
        <f>IFERROR('01_Key Requirements &amp; Use Cases'!$F120,"")</f>
        <v/>
      </c>
      <c r="G133" s="64" t="n"/>
      <c r="H133" s="65" t="n"/>
      <c r="I133" s="64" t="n"/>
      <c r="J133" s="65" t="n"/>
      <c r="K133" s="64" t="n"/>
      <c r="L133" s="65" t="n"/>
      <c r="M133" s="64" t="n"/>
      <c r="N133" s="65" t="n"/>
      <c r="O133" s="64" t="n"/>
      <c r="P133" s="65" t="n"/>
      <c r="Q133" s="64" t="n"/>
      <c r="R133" s="65" t="n"/>
    </row>
    <row r="134">
      <c r="B134" s="60">
        <f>IFERROR('01_Key Requirements &amp; Use Cases'!$B133,"")</f>
        <v/>
      </c>
      <c r="C134" s="61">
        <f>IFERROR('01_Key Requirements &amp; Use Cases'!$C133,"")</f>
        <v/>
      </c>
      <c r="D134" s="62">
        <f>IFERROR('01_Key Requirements &amp; Use Cases'!$D121,"")</f>
        <v/>
      </c>
      <c r="E134" s="8">
        <f>IFERROR('01_Key Requirements &amp; Use Cases'!$E121,"")</f>
        <v/>
      </c>
      <c r="F134" s="63">
        <f>IFERROR('01_Key Requirements &amp; Use Cases'!$F121,"")</f>
        <v/>
      </c>
      <c r="G134" s="64" t="n"/>
      <c r="H134" s="65" t="n"/>
      <c r="I134" s="64" t="n"/>
      <c r="J134" s="65" t="n"/>
      <c r="K134" s="64" t="n"/>
      <c r="L134" s="65" t="n"/>
      <c r="M134" s="64" t="n"/>
      <c r="N134" s="65" t="n"/>
      <c r="O134" s="64" t="n"/>
      <c r="P134" s="65" t="n"/>
      <c r="Q134" s="64" t="n"/>
      <c r="R134" s="65" t="n"/>
    </row>
    <row r="135">
      <c r="B135" s="60">
        <f>IFERROR('01_Key Requirements &amp; Use Cases'!$B134,"")</f>
        <v/>
      </c>
      <c r="C135" s="61">
        <f>IFERROR('01_Key Requirements &amp; Use Cases'!$C134,"")</f>
        <v/>
      </c>
      <c r="D135" s="62">
        <f>IFERROR('01_Key Requirements &amp; Use Cases'!$D122,"")</f>
        <v/>
      </c>
      <c r="E135" s="8">
        <f>IFERROR('01_Key Requirements &amp; Use Cases'!$E122,"")</f>
        <v/>
      </c>
      <c r="F135" s="63">
        <f>IFERROR('01_Key Requirements &amp; Use Cases'!$F122,"")</f>
        <v/>
      </c>
      <c r="G135" s="64" t="n"/>
      <c r="H135" s="65" t="n"/>
      <c r="I135" s="64" t="n"/>
      <c r="J135" s="65" t="n"/>
      <c r="K135" s="64" t="n"/>
      <c r="L135" s="65" t="n"/>
      <c r="M135" s="64" t="n"/>
      <c r="N135" s="65" t="n"/>
      <c r="O135" s="64" t="n"/>
      <c r="P135" s="65" t="n"/>
      <c r="Q135" s="64" t="n"/>
      <c r="R135" s="65" t="n"/>
    </row>
    <row r="136">
      <c r="B136" s="60">
        <f>IFERROR('01_Key Requirements &amp; Use Cases'!$B135,"")</f>
        <v/>
      </c>
      <c r="C136" s="61">
        <f>IFERROR('01_Key Requirements &amp; Use Cases'!$C135,"")</f>
        <v/>
      </c>
      <c r="D136" s="62">
        <f>IFERROR('01_Key Requirements &amp; Use Cases'!$D123,"")</f>
        <v/>
      </c>
      <c r="E136" s="8">
        <f>IFERROR('01_Key Requirements &amp; Use Cases'!$E123,"")</f>
        <v/>
      </c>
      <c r="F136" s="63">
        <f>IFERROR('01_Key Requirements &amp; Use Cases'!$F123,"")</f>
        <v/>
      </c>
      <c r="G136" s="64" t="n"/>
      <c r="H136" s="65" t="n"/>
      <c r="I136" s="64" t="n"/>
      <c r="J136" s="65" t="n"/>
      <c r="K136" s="64" t="n"/>
      <c r="L136" s="65" t="n"/>
      <c r="M136" s="64" t="n"/>
      <c r="N136" s="65" t="n"/>
      <c r="O136" s="64" t="n"/>
      <c r="P136" s="65" t="n"/>
      <c r="Q136" s="64" t="n"/>
      <c r="R136" s="65" t="n"/>
    </row>
    <row r="137">
      <c r="B137" s="60">
        <f>IFERROR('01_Key Requirements &amp; Use Cases'!$B136,"")</f>
        <v/>
      </c>
      <c r="C137" s="61">
        <f>IFERROR('01_Key Requirements &amp; Use Cases'!$C136,"")</f>
        <v/>
      </c>
      <c r="D137" s="62">
        <f>IFERROR('01_Key Requirements &amp; Use Cases'!$D124,"")</f>
        <v/>
      </c>
      <c r="E137" s="8">
        <f>IFERROR('01_Key Requirements &amp; Use Cases'!$E124,"")</f>
        <v/>
      </c>
      <c r="F137" s="63">
        <f>IFERROR('01_Key Requirements &amp; Use Cases'!$F124,"")</f>
        <v/>
      </c>
      <c r="G137" s="64" t="n"/>
      <c r="H137" s="65" t="n"/>
      <c r="I137" s="64" t="n"/>
      <c r="J137" s="65" t="n"/>
      <c r="K137" s="64" t="n"/>
      <c r="L137" s="65" t="n"/>
      <c r="M137" s="64" t="n"/>
      <c r="N137" s="65" t="n"/>
      <c r="O137" s="64" t="n"/>
      <c r="P137" s="65" t="n"/>
      <c r="Q137" s="64" t="n"/>
      <c r="R137" s="65" t="n"/>
    </row>
    <row r="138">
      <c r="B138" s="60">
        <f>IFERROR('01_Key Requirements &amp; Use Cases'!$B137,"")</f>
        <v/>
      </c>
      <c r="C138" s="61">
        <f>IFERROR('01_Key Requirements &amp; Use Cases'!$C137,"")</f>
        <v/>
      </c>
      <c r="D138" s="62">
        <f>IFERROR('01_Key Requirements &amp; Use Cases'!$D125,"")</f>
        <v/>
      </c>
      <c r="E138" s="8">
        <f>IFERROR('01_Key Requirements &amp; Use Cases'!$E125,"")</f>
        <v/>
      </c>
      <c r="F138" s="63">
        <f>IFERROR('01_Key Requirements &amp; Use Cases'!$F125,"")</f>
        <v/>
      </c>
      <c r="G138" s="64" t="n"/>
      <c r="H138" s="65" t="n"/>
      <c r="I138" s="64" t="n"/>
      <c r="J138" s="65" t="n"/>
      <c r="K138" s="64" t="n"/>
      <c r="L138" s="65" t="n"/>
      <c r="M138" s="64" t="n"/>
      <c r="N138" s="65" t="n"/>
      <c r="O138" s="64" t="n"/>
      <c r="P138" s="65" t="n"/>
      <c r="Q138" s="64" t="n"/>
      <c r="R138" s="65" t="n"/>
    </row>
    <row r="139">
      <c r="B139" s="60">
        <f>IFERROR('01_Key Requirements &amp; Use Cases'!$B138,"")</f>
        <v/>
      </c>
      <c r="C139" s="61">
        <f>IFERROR('01_Key Requirements &amp; Use Cases'!$C138,"")</f>
        <v/>
      </c>
      <c r="D139" s="62">
        <f>IFERROR('01_Key Requirements &amp; Use Cases'!$D126,"")</f>
        <v/>
      </c>
      <c r="E139" s="8">
        <f>IFERROR('01_Key Requirements &amp; Use Cases'!$E126,"")</f>
        <v/>
      </c>
      <c r="F139" s="63">
        <f>IFERROR('01_Key Requirements &amp; Use Cases'!$F126,"")</f>
        <v/>
      </c>
      <c r="G139" s="64" t="n"/>
      <c r="H139" s="65" t="n"/>
      <c r="I139" s="64" t="n"/>
      <c r="J139" s="65" t="n"/>
      <c r="K139" s="64" t="n"/>
      <c r="L139" s="65" t="n"/>
      <c r="M139" s="64" t="n"/>
      <c r="N139" s="65" t="n"/>
      <c r="O139" s="64" t="n"/>
      <c r="P139" s="65" t="n"/>
      <c r="Q139" s="64" t="n"/>
      <c r="R139" s="65" t="n"/>
    </row>
    <row r="140">
      <c r="B140" s="60">
        <f>IFERROR('01_Key Requirements &amp; Use Cases'!$B139,"")</f>
        <v/>
      </c>
      <c r="C140" s="61">
        <f>IFERROR('01_Key Requirements &amp; Use Cases'!$C139,"")</f>
        <v/>
      </c>
      <c r="D140" s="62">
        <f>IFERROR('01_Key Requirements &amp; Use Cases'!$D127,"")</f>
        <v/>
      </c>
      <c r="E140" s="8">
        <f>IFERROR('01_Key Requirements &amp; Use Cases'!$E127,"")</f>
        <v/>
      </c>
      <c r="F140" s="63">
        <f>IFERROR('01_Key Requirements &amp; Use Cases'!$F127,"")</f>
        <v/>
      </c>
      <c r="G140" s="64" t="n"/>
      <c r="H140" s="65" t="n"/>
      <c r="I140" s="64" t="n"/>
      <c r="J140" s="65" t="n"/>
      <c r="K140" s="64" t="n"/>
      <c r="L140" s="65" t="n"/>
      <c r="M140" s="64" t="n"/>
      <c r="N140" s="65" t="n"/>
      <c r="O140" s="64" t="n"/>
      <c r="P140" s="65" t="n"/>
      <c r="Q140" s="64" t="n"/>
      <c r="R140" s="65" t="n"/>
    </row>
    <row r="141">
      <c r="B141" s="60">
        <f>IFERROR('01_Key Requirements &amp; Use Cases'!$B140,"")</f>
        <v/>
      </c>
      <c r="C141" s="61">
        <f>IFERROR('01_Key Requirements &amp; Use Cases'!$C140,"")</f>
        <v/>
      </c>
      <c r="D141" s="62">
        <f>IFERROR('01_Key Requirements &amp; Use Cases'!$D128,"")</f>
        <v/>
      </c>
      <c r="E141" s="8">
        <f>IFERROR('01_Key Requirements &amp; Use Cases'!$E128,"")</f>
        <v/>
      </c>
      <c r="F141" s="63">
        <f>IFERROR('01_Key Requirements &amp; Use Cases'!$F128,"")</f>
        <v/>
      </c>
      <c r="G141" s="64" t="n"/>
      <c r="H141" s="65" t="n"/>
      <c r="I141" s="64" t="n"/>
      <c r="J141" s="65" t="n"/>
      <c r="K141" s="64" t="n"/>
      <c r="L141" s="65" t="n"/>
      <c r="M141" s="64" t="n"/>
      <c r="N141" s="65" t="n"/>
      <c r="O141" s="64" t="n"/>
      <c r="P141" s="65" t="n"/>
      <c r="Q141" s="64" t="n"/>
      <c r="R141" s="65" t="n"/>
    </row>
    <row r="142">
      <c r="B142" s="60">
        <f>IFERROR('01_Key Requirements &amp; Use Cases'!$B141,"")</f>
        <v/>
      </c>
      <c r="C142" s="61">
        <f>IFERROR('01_Key Requirements &amp; Use Cases'!$C141,"")</f>
        <v/>
      </c>
      <c r="D142" s="62">
        <f>IFERROR('01_Key Requirements &amp; Use Cases'!$D129,"")</f>
        <v/>
      </c>
      <c r="E142" s="8">
        <f>IFERROR('01_Key Requirements &amp; Use Cases'!$E129,"")</f>
        <v/>
      </c>
      <c r="F142" s="63">
        <f>IFERROR('01_Key Requirements &amp; Use Cases'!$F129,"")</f>
        <v/>
      </c>
      <c r="G142" s="64" t="n"/>
      <c r="H142" s="65" t="n"/>
      <c r="I142" s="64" t="n"/>
      <c r="J142" s="65" t="n"/>
      <c r="K142" s="64" t="n"/>
      <c r="L142" s="65" t="n"/>
      <c r="M142" s="64" t="n"/>
      <c r="N142" s="65" t="n"/>
      <c r="O142" s="64" t="n"/>
      <c r="P142" s="65" t="n"/>
      <c r="Q142" s="64" t="n"/>
      <c r="R142" s="65" t="n"/>
    </row>
    <row r="143">
      <c r="B143" s="60">
        <f>IFERROR('01_Key Requirements &amp; Use Cases'!$B142,"")</f>
        <v/>
      </c>
      <c r="C143" s="61">
        <f>IFERROR('01_Key Requirements &amp; Use Cases'!$C142,"")</f>
        <v/>
      </c>
      <c r="D143" s="62">
        <f>IFERROR('01_Key Requirements &amp; Use Cases'!$D130,"")</f>
        <v/>
      </c>
      <c r="E143" s="8">
        <f>IFERROR('01_Key Requirements &amp; Use Cases'!$E130,"")</f>
        <v/>
      </c>
      <c r="F143" s="63">
        <f>IFERROR('01_Key Requirements &amp; Use Cases'!$F130,"")</f>
        <v/>
      </c>
      <c r="G143" s="64" t="n"/>
      <c r="H143" s="65" t="n"/>
      <c r="I143" s="64" t="n"/>
      <c r="J143" s="65" t="n"/>
      <c r="K143" s="64" t="n"/>
      <c r="L143" s="65" t="n"/>
      <c r="M143" s="64" t="n"/>
      <c r="N143" s="65" t="n"/>
      <c r="O143" s="64" t="n"/>
      <c r="P143" s="65" t="n"/>
      <c r="Q143" s="64" t="n"/>
      <c r="R143" s="65" t="n"/>
    </row>
    <row r="144">
      <c r="B144" s="60">
        <f>IFERROR('01_Key Requirements &amp; Use Cases'!$B143,"")</f>
        <v/>
      </c>
      <c r="C144" s="61">
        <f>IFERROR('01_Key Requirements &amp; Use Cases'!$C143,"")</f>
        <v/>
      </c>
      <c r="D144" s="62">
        <f>IFERROR('01_Key Requirements &amp; Use Cases'!$D131,"")</f>
        <v/>
      </c>
      <c r="E144" s="8">
        <f>IFERROR('01_Key Requirements &amp; Use Cases'!$E131,"")</f>
        <v/>
      </c>
      <c r="F144" s="63">
        <f>IFERROR('01_Key Requirements &amp; Use Cases'!$F131,"")</f>
        <v/>
      </c>
      <c r="G144" s="64" t="n"/>
      <c r="H144" s="65" t="n"/>
      <c r="I144" s="64" t="n"/>
      <c r="J144" s="65" t="n"/>
      <c r="K144" s="64" t="n"/>
      <c r="L144" s="65" t="n"/>
      <c r="M144" s="64" t="n"/>
      <c r="N144" s="65" t="n"/>
      <c r="O144" s="64" t="n"/>
      <c r="P144" s="65" t="n"/>
      <c r="Q144" s="64" t="n"/>
      <c r="R144" s="65" t="n"/>
    </row>
    <row r="145">
      <c r="B145" s="60">
        <f>IFERROR('01_Key Requirements &amp; Use Cases'!$B144,"")</f>
        <v/>
      </c>
      <c r="C145" s="61">
        <f>IFERROR('01_Key Requirements &amp; Use Cases'!$C144,"")</f>
        <v/>
      </c>
      <c r="D145" s="62">
        <f>IFERROR('01_Key Requirements &amp; Use Cases'!$D132,"")</f>
        <v/>
      </c>
      <c r="E145" s="8">
        <f>IFERROR('01_Key Requirements &amp; Use Cases'!$E132,"")</f>
        <v/>
      </c>
      <c r="F145" s="63">
        <f>IFERROR('01_Key Requirements &amp; Use Cases'!$F132,"")</f>
        <v/>
      </c>
      <c r="G145" s="64" t="n"/>
      <c r="H145" s="65" t="n"/>
      <c r="I145" s="64" t="n"/>
      <c r="J145" s="65" t="n"/>
      <c r="K145" s="64" t="n"/>
      <c r="L145" s="65" t="n"/>
      <c r="M145" s="64" t="n"/>
      <c r="N145" s="65" t="n"/>
      <c r="O145" s="64" t="n"/>
      <c r="P145" s="65" t="n"/>
      <c r="Q145" s="64" t="n"/>
      <c r="R145" s="65" t="n"/>
    </row>
    <row r="146">
      <c r="B146" s="60">
        <f>IFERROR('01_Key Requirements &amp; Use Cases'!$B145,"")</f>
        <v/>
      </c>
      <c r="C146" s="61">
        <f>IFERROR('01_Key Requirements &amp; Use Cases'!$C145,"")</f>
        <v/>
      </c>
      <c r="D146" s="62">
        <f>IFERROR('01_Key Requirements &amp; Use Cases'!$D133,"")</f>
        <v/>
      </c>
      <c r="E146" s="8">
        <f>IFERROR('01_Key Requirements &amp; Use Cases'!$E133,"")</f>
        <v/>
      </c>
      <c r="F146" s="63">
        <f>IFERROR('01_Key Requirements &amp; Use Cases'!$F133,"")</f>
        <v/>
      </c>
      <c r="G146" s="64" t="n"/>
      <c r="H146" s="65" t="n"/>
      <c r="I146" s="64" t="n"/>
      <c r="J146" s="65" t="n"/>
      <c r="K146" s="64" t="n"/>
      <c r="L146" s="65" t="n"/>
      <c r="M146" s="64" t="n"/>
      <c r="N146" s="65" t="n"/>
      <c r="O146" s="64" t="n"/>
      <c r="P146" s="65" t="n"/>
      <c r="Q146" s="64" t="n"/>
      <c r="R146" s="65" t="n"/>
    </row>
    <row r="147">
      <c r="B147" s="60">
        <f>IFERROR('01_Key Requirements &amp; Use Cases'!$B146,"")</f>
        <v/>
      </c>
      <c r="C147" s="61">
        <f>IFERROR('01_Key Requirements &amp; Use Cases'!$C146,"")</f>
        <v/>
      </c>
      <c r="D147" s="62">
        <f>IFERROR('01_Key Requirements &amp; Use Cases'!$D134,"")</f>
        <v/>
      </c>
      <c r="E147" s="8">
        <f>IFERROR('01_Key Requirements &amp; Use Cases'!$E134,"")</f>
        <v/>
      </c>
      <c r="F147" s="63">
        <f>IFERROR('01_Key Requirements &amp; Use Cases'!$F134,"")</f>
        <v/>
      </c>
      <c r="G147" s="64" t="n"/>
      <c r="H147" s="65" t="n"/>
      <c r="I147" s="64" t="n"/>
      <c r="J147" s="65" t="n"/>
      <c r="K147" s="64" t="n"/>
      <c r="L147" s="65" t="n"/>
      <c r="M147" s="64" t="n"/>
      <c r="N147" s="65" t="n"/>
      <c r="O147" s="64" t="n"/>
      <c r="P147" s="65" t="n"/>
      <c r="Q147" s="64" t="n"/>
      <c r="R147" s="65" t="n"/>
    </row>
    <row r="148">
      <c r="B148" s="60">
        <f>IFERROR('01_Key Requirements &amp; Use Cases'!$B147,"")</f>
        <v/>
      </c>
      <c r="C148" s="61">
        <f>IFERROR('01_Key Requirements &amp; Use Cases'!$C147,"")</f>
        <v/>
      </c>
      <c r="D148" s="62">
        <f>IFERROR('01_Key Requirements &amp; Use Cases'!$D135,"")</f>
        <v/>
      </c>
      <c r="E148" s="8">
        <f>IFERROR('01_Key Requirements &amp; Use Cases'!$E135,"")</f>
        <v/>
      </c>
      <c r="F148" s="63">
        <f>IFERROR('01_Key Requirements &amp; Use Cases'!$F135,"")</f>
        <v/>
      </c>
      <c r="G148" s="64" t="n"/>
      <c r="H148" s="65" t="n"/>
      <c r="I148" s="64" t="n"/>
      <c r="J148" s="65" t="n"/>
      <c r="K148" s="64" t="n"/>
      <c r="L148" s="65" t="n"/>
      <c r="M148" s="64" t="n"/>
      <c r="N148" s="65" t="n"/>
      <c r="O148" s="64" t="n"/>
      <c r="P148" s="65" t="n"/>
      <c r="Q148" s="64" t="n"/>
      <c r="R148" s="65" t="n"/>
    </row>
    <row r="149">
      <c r="B149" s="60">
        <f>IFERROR('01_Key Requirements &amp; Use Cases'!$B148,"")</f>
        <v/>
      </c>
      <c r="C149" s="61">
        <f>IFERROR('01_Key Requirements &amp; Use Cases'!$C148,"")</f>
        <v/>
      </c>
      <c r="D149" s="62">
        <f>IFERROR('01_Key Requirements &amp; Use Cases'!$D136,"")</f>
        <v/>
      </c>
      <c r="E149" s="8">
        <f>IFERROR('01_Key Requirements &amp; Use Cases'!$E136,"")</f>
        <v/>
      </c>
      <c r="F149" s="63">
        <f>IFERROR('01_Key Requirements &amp; Use Cases'!$F136,"")</f>
        <v/>
      </c>
      <c r="G149" s="64" t="n"/>
      <c r="H149" s="65" t="n"/>
      <c r="I149" s="64" t="n"/>
      <c r="J149" s="65" t="n"/>
      <c r="K149" s="64" t="n"/>
      <c r="L149" s="65" t="n"/>
      <c r="M149" s="64" t="n"/>
      <c r="N149" s="65" t="n"/>
      <c r="O149" s="64" t="n"/>
      <c r="P149" s="65" t="n"/>
      <c r="Q149" s="64" t="n"/>
      <c r="R149" s="65" t="n"/>
    </row>
    <row r="150">
      <c r="B150" s="60">
        <f>IFERROR('01_Key Requirements &amp; Use Cases'!$B149,"")</f>
        <v/>
      </c>
      <c r="C150" s="61">
        <f>IFERROR('01_Key Requirements &amp; Use Cases'!$C149,"")</f>
        <v/>
      </c>
      <c r="D150" s="62">
        <f>IFERROR('01_Key Requirements &amp; Use Cases'!$D137,"")</f>
        <v/>
      </c>
      <c r="E150" s="8">
        <f>IFERROR('01_Key Requirements &amp; Use Cases'!$E137,"")</f>
        <v/>
      </c>
      <c r="F150" s="63">
        <f>IFERROR('01_Key Requirements &amp; Use Cases'!$F137,"")</f>
        <v/>
      </c>
      <c r="G150" s="64" t="n"/>
      <c r="H150" s="65" t="n"/>
      <c r="I150" s="64" t="n"/>
      <c r="J150" s="65" t="n"/>
      <c r="K150" s="64" t="n"/>
      <c r="L150" s="65" t="n"/>
      <c r="M150" s="64" t="n"/>
      <c r="N150" s="65" t="n"/>
      <c r="O150" s="64" t="n"/>
      <c r="P150" s="65" t="n"/>
      <c r="Q150" s="64" t="n"/>
      <c r="R150" s="65" t="n"/>
    </row>
    <row r="151">
      <c r="B151" s="60">
        <f>IFERROR('01_Key Requirements &amp; Use Cases'!$B150,"")</f>
        <v/>
      </c>
      <c r="C151" s="61">
        <f>IFERROR('01_Key Requirements &amp; Use Cases'!$C150,"")</f>
        <v/>
      </c>
      <c r="D151" s="62">
        <f>IFERROR('01_Key Requirements &amp; Use Cases'!$D138,"")</f>
        <v/>
      </c>
      <c r="E151" s="8">
        <f>IFERROR('01_Key Requirements &amp; Use Cases'!$E138,"")</f>
        <v/>
      </c>
      <c r="F151" s="63">
        <f>IFERROR('01_Key Requirements &amp; Use Cases'!$F138,"")</f>
        <v/>
      </c>
      <c r="G151" s="64" t="n"/>
      <c r="H151" s="65" t="n"/>
      <c r="I151" s="64" t="n"/>
      <c r="J151" s="65" t="n"/>
      <c r="K151" s="64" t="n"/>
      <c r="L151" s="65" t="n"/>
      <c r="M151" s="64" t="n"/>
      <c r="N151" s="65" t="n"/>
      <c r="O151" s="64" t="n"/>
      <c r="P151" s="65" t="n"/>
      <c r="Q151" s="64" t="n"/>
      <c r="R151" s="65" t="n"/>
    </row>
    <row r="152">
      <c r="B152" s="60">
        <f>IFERROR('01_Key Requirements &amp; Use Cases'!$B151,"")</f>
        <v/>
      </c>
      <c r="C152" s="61">
        <f>IFERROR('01_Key Requirements &amp; Use Cases'!$C151,"")</f>
        <v/>
      </c>
      <c r="D152" s="62">
        <f>IFERROR('01_Key Requirements &amp; Use Cases'!$D139,"")</f>
        <v/>
      </c>
      <c r="E152" s="8">
        <f>IFERROR('01_Key Requirements &amp; Use Cases'!$E139,"")</f>
        <v/>
      </c>
      <c r="F152" s="63">
        <f>IFERROR('01_Key Requirements &amp; Use Cases'!$F139,"")</f>
        <v/>
      </c>
      <c r="G152" s="64" t="n"/>
      <c r="H152" s="65" t="n"/>
      <c r="I152" s="64" t="n"/>
      <c r="J152" s="65" t="n"/>
      <c r="K152" s="64" t="n"/>
      <c r="L152" s="65" t="n"/>
      <c r="M152" s="64" t="n"/>
      <c r="N152" s="65" t="n"/>
      <c r="O152" s="64" t="n"/>
      <c r="P152" s="65" t="n"/>
      <c r="Q152" s="64" t="n"/>
      <c r="R152" s="65" t="n"/>
    </row>
    <row r="153">
      <c r="B153" s="60">
        <f>IFERROR('01_Key Requirements &amp; Use Cases'!$B152,"")</f>
        <v/>
      </c>
      <c r="C153" s="61">
        <f>IFERROR('01_Key Requirements &amp; Use Cases'!$C152,"")</f>
        <v/>
      </c>
      <c r="D153" s="62">
        <f>IFERROR('01_Key Requirements &amp; Use Cases'!$D140,"")</f>
        <v/>
      </c>
      <c r="E153" s="8">
        <f>IFERROR('01_Key Requirements &amp; Use Cases'!$E140,"")</f>
        <v/>
      </c>
      <c r="F153" s="63">
        <f>IFERROR('01_Key Requirements &amp; Use Cases'!$F140,"")</f>
        <v/>
      </c>
      <c r="G153" s="64" t="n"/>
      <c r="H153" s="65" t="n"/>
      <c r="I153" s="64" t="n"/>
      <c r="J153" s="65" t="n"/>
      <c r="K153" s="64" t="n"/>
      <c r="L153" s="65" t="n"/>
      <c r="M153" s="64" t="n"/>
      <c r="N153" s="65" t="n"/>
      <c r="O153" s="64" t="n"/>
      <c r="P153" s="65" t="n"/>
      <c r="Q153" s="64" t="n"/>
      <c r="R153" s="65" t="n"/>
    </row>
    <row r="154">
      <c r="B154" s="60">
        <f>IFERROR('01_Key Requirements &amp; Use Cases'!$B153,"")</f>
        <v/>
      </c>
      <c r="C154" s="61">
        <f>IFERROR('01_Key Requirements &amp; Use Cases'!$C153,"")</f>
        <v/>
      </c>
      <c r="D154" s="62">
        <f>IFERROR('01_Key Requirements &amp; Use Cases'!$D141,"")</f>
        <v/>
      </c>
      <c r="E154" s="8">
        <f>IFERROR('01_Key Requirements &amp; Use Cases'!$E141,"")</f>
        <v/>
      </c>
      <c r="F154" s="63">
        <f>IFERROR('01_Key Requirements &amp; Use Cases'!$F141,"")</f>
        <v/>
      </c>
      <c r="G154" s="64" t="n"/>
      <c r="H154" s="65" t="n"/>
      <c r="I154" s="64" t="n"/>
      <c r="J154" s="65" t="n"/>
      <c r="K154" s="64" t="n"/>
      <c r="L154" s="65" t="n"/>
      <c r="M154" s="64" t="n"/>
      <c r="N154" s="65" t="n"/>
      <c r="O154" s="64" t="n"/>
      <c r="P154" s="65" t="n"/>
      <c r="Q154" s="64" t="n"/>
      <c r="R154" s="65" t="n"/>
    </row>
    <row r="155">
      <c r="B155" s="60">
        <f>IFERROR('01_Key Requirements &amp; Use Cases'!$B154,"")</f>
        <v/>
      </c>
      <c r="C155" s="61">
        <f>IFERROR('01_Key Requirements &amp; Use Cases'!$C154,"")</f>
        <v/>
      </c>
      <c r="D155" s="62">
        <f>IFERROR('01_Key Requirements &amp; Use Cases'!$D142,"")</f>
        <v/>
      </c>
      <c r="E155" s="8">
        <f>IFERROR('01_Key Requirements &amp; Use Cases'!$E142,"")</f>
        <v/>
      </c>
      <c r="F155" s="63">
        <f>IFERROR('01_Key Requirements &amp; Use Cases'!$F142,"")</f>
        <v/>
      </c>
      <c r="G155" s="64" t="n"/>
      <c r="H155" s="65" t="n"/>
      <c r="I155" s="64" t="n"/>
      <c r="J155" s="65" t="n"/>
      <c r="K155" s="64" t="n"/>
      <c r="L155" s="65" t="n"/>
      <c r="M155" s="64" t="n"/>
      <c r="N155" s="65" t="n"/>
      <c r="O155" s="64" t="n"/>
      <c r="P155" s="65" t="n"/>
      <c r="Q155" s="64" t="n"/>
      <c r="R155" s="65" t="n"/>
    </row>
    <row r="156">
      <c r="B156" s="60">
        <f>IFERROR('01_Key Requirements &amp; Use Cases'!$B155,"")</f>
        <v/>
      </c>
      <c r="C156" s="61">
        <f>IFERROR('01_Key Requirements &amp; Use Cases'!$C155,"")</f>
        <v/>
      </c>
      <c r="D156" s="62">
        <f>IFERROR('01_Key Requirements &amp; Use Cases'!$D143,"")</f>
        <v/>
      </c>
      <c r="E156" s="8">
        <f>IFERROR('01_Key Requirements &amp; Use Cases'!$E143,"")</f>
        <v/>
      </c>
      <c r="F156" s="63">
        <f>IFERROR('01_Key Requirements &amp; Use Cases'!$F143,"")</f>
        <v/>
      </c>
      <c r="G156" s="64" t="n"/>
      <c r="H156" s="65" t="n"/>
      <c r="I156" s="64" t="n"/>
      <c r="J156" s="65" t="n"/>
      <c r="K156" s="64" t="n"/>
      <c r="L156" s="65" t="n"/>
      <c r="M156" s="64" t="n"/>
      <c r="N156" s="65" t="n"/>
      <c r="O156" s="64" t="n"/>
      <c r="P156" s="65" t="n"/>
      <c r="Q156" s="64" t="n"/>
      <c r="R156" s="65" t="n"/>
    </row>
    <row r="157">
      <c r="B157" s="60">
        <f>IFERROR('01_Key Requirements &amp; Use Cases'!$B156,"")</f>
        <v/>
      </c>
      <c r="C157" s="61">
        <f>IFERROR('01_Key Requirements &amp; Use Cases'!$C156,"")</f>
        <v/>
      </c>
      <c r="D157" s="62">
        <f>IFERROR('01_Key Requirements &amp; Use Cases'!$D144,"")</f>
        <v/>
      </c>
      <c r="E157" s="8">
        <f>IFERROR('01_Key Requirements &amp; Use Cases'!$E144,"")</f>
        <v/>
      </c>
      <c r="F157" s="63">
        <f>IFERROR('01_Key Requirements &amp; Use Cases'!$F144,"")</f>
        <v/>
      </c>
      <c r="G157" s="64" t="n"/>
      <c r="H157" s="65" t="n"/>
      <c r="I157" s="64" t="n"/>
      <c r="J157" s="65" t="n"/>
      <c r="K157" s="64" t="n"/>
      <c r="L157" s="65" t="n"/>
      <c r="M157" s="64" t="n"/>
      <c r="N157" s="65" t="n"/>
      <c r="O157" s="64" t="n"/>
      <c r="P157" s="65" t="n"/>
      <c r="Q157" s="64" t="n"/>
      <c r="R157" s="65" t="n"/>
    </row>
    <row r="158">
      <c r="B158" s="60">
        <f>IFERROR('01_Key Requirements &amp; Use Cases'!$B157,"")</f>
        <v/>
      </c>
      <c r="C158" s="61">
        <f>IFERROR('01_Key Requirements &amp; Use Cases'!$C145,"")</f>
        <v/>
      </c>
      <c r="D158" s="62">
        <f>IFERROR('01_Key Requirements &amp; Use Cases'!$D145,"")</f>
        <v/>
      </c>
      <c r="E158" s="8">
        <f>IFERROR('01_Key Requirements &amp; Use Cases'!$E145,"")</f>
        <v/>
      </c>
      <c r="F158" s="63">
        <f>IFERROR('01_Key Requirements &amp; Use Cases'!$F145,"")</f>
        <v/>
      </c>
      <c r="G158" s="64" t="n"/>
      <c r="H158" s="65" t="n"/>
      <c r="I158" s="64" t="n"/>
      <c r="J158" s="65" t="n"/>
      <c r="K158" s="64" t="n"/>
      <c r="L158" s="65" t="n"/>
      <c r="M158" s="64" t="n"/>
      <c r="N158" s="65" t="n"/>
      <c r="O158" s="64" t="n"/>
      <c r="P158" s="65" t="n"/>
      <c r="Q158" s="64" t="n"/>
      <c r="R158" s="65" t="n"/>
    </row>
    <row r="159">
      <c r="B159" s="60">
        <f>IFERROR('01_Key Requirements &amp; Use Cases'!$B158,"")</f>
        <v/>
      </c>
      <c r="C159" s="61">
        <f>IFERROR('01_Key Requirements &amp; Use Cases'!$C146,"")</f>
        <v/>
      </c>
      <c r="D159" s="62">
        <f>IFERROR('01_Key Requirements &amp; Use Cases'!$D146,"")</f>
        <v/>
      </c>
      <c r="E159" s="8">
        <f>IFERROR('01_Key Requirements &amp; Use Cases'!$E146,"")</f>
        <v/>
      </c>
      <c r="F159" s="63">
        <f>IFERROR('01_Key Requirements &amp; Use Cases'!$F146,"")</f>
        <v/>
      </c>
      <c r="G159" s="64" t="n"/>
      <c r="H159" s="65" t="n"/>
      <c r="I159" s="64" t="n"/>
      <c r="J159" s="65" t="n"/>
      <c r="K159" s="64" t="n"/>
      <c r="L159" s="65" t="n"/>
      <c r="M159" s="64" t="n"/>
      <c r="N159" s="65" t="n"/>
      <c r="O159" s="64" t="n"/>
      <c r="P159" s="65" t="n"/>
      <c r="Q159" s="64" t="n"/>
      <c r="R159" s="65" t="n"/>
    </row>
    <row r="160">
      <c r="B160" s="60">
        <f>IFERROR('01_Key Requirements &amp; Use Cases'!$B159,"")</f>
        <v/>
      </c>
      <c r="C160" s="61">
        <f>IFERROR('01_Key Requirements &amp; Use Cases'!$C147,"")</f>
        <v/>
      </c>
      <c r="D160" s="62">
        <f>IFERROR('01_Key Requirements &amp; Use Cases'!$D147,"")</f>
        <v/>
      </c>
      <c r="E160" s="8">
        <f>IFERROR('01_Key Requirements &amp; Use Cases'!$E147,"")</f>
        <v/>
      </c>
      <c r="F160" s="63">
        <f>IFERROR('01_Key Requirements &amp; Use Cases'!$F147,"")</f>
        <v/>
      </c>
      <c r="G160" s="64" t="n"/>
      <c r="H160" s="65" t="n"/>
      <c r="I160" s="64" t="n"/>
      <c r="J160" s="65" t="n"/>
      <c r="K160" s="64" t="n"/>
      <c r="L160" s="65" t="n"/>
      <c r="M160" s="64" t="n"/>
      <c r="N160" s="65" t="n"/>
      <c r="O160" s="64" t="n"/>
      <c r="P160" s="65" t="n"/>
      <c r="Q160" s="64" t="n"/>
      <c r="R160" s="65" t="n"/>
    </row>
    <row r="161">
      <c r="B161" s="60">
        <f>IFERROR('01_Key Requirements &amp; Use Cases'!$B160,"")</f>
        <v/>
      </c>
      <c r="C161" s="61">
        <f>IFERROR('01_Key Requirements &amp; Use Cases'!$C148,"")</f>
        <v/>
      </c>
      <c r="D161" s="62">
        <f>IFERROR('01_Key Requirements &amp; Use Cases'!$D148,"")</f>
        <v/>
      </c>
      <c r="E161" s="8">
        <f>IFERROR('01_Key Requirements &amp; Use Cases'!$E148,"")</f>
        <v/>
      </c>
      <c r="F161" s="63">
        <f>IFERROR('01_Key Requirements &amp; Use Cases'!$F148,"")</f>
        <v/>
      </c>
      <c r="G161" s="64" t="n"/>
      <c r="H161" s="65" t="n"/>
      <c r="I161" s="64" t="n"/>
      <c r="J161" s="65" t="n"/>
      <c r="K161" s="64" t="n"/>
      <c r="L161" s="65" t="n"/>
      <c r="M161" s="64" t="n"/>
      <c r="N161" s="65" t="n"/>
      <c r="O161" s="64" t="n"/>
      <c r="P161" s="65" t="n"/>
      <c r="Q161" s="64" t="n"/>
      <c r="R161" s="65" t="n"/>
    </row>
    <row r="162">
      <c r="B162" s="60">
        <f>IFERROR('01_Key Requirements &amp; Use Cases'!$B161,"")</f>
        <v/>
      </c>
      <c r="C162" s="61">
        <f>IFERROR('01_Key Requirements &amp; Use Cases'!$C149,"")</f>
        <v/>
      </c>
      <c r="D162" s="62">
        <f>IFERROR('01_Key Requirements &amp; Use Cases'!$D149,"")</f>
        <v/>
      </c>
      <c r="E162" s="8">
        <f>IFERROR('01_Key Requirements &amp; Use Cases'!$E149,"")</f>
        <v/>
      </c>
      <c r="F162" s="63">
        <f>IFERROR('01_Key Requirements &amp; Use Cases'!$F149,"")</f>
        <v/>
      </c>
      <c r="G162" s="64" t="n"/>
      <c r="H162" s="65" t="n"/>
      <c r="I162" s="64" t="n"/>
      <c r="J162" s="65" t="n"/>
      <c r="K162" s="64" t="n"/>
      <c r="L162" s="65" t="n"/>
      <c r="M162" s="64" t="n"/>
      <c r="N162" s="65" t="n"/>
      <c r="O162" s="64" t="n"/>
      <c r="P162" s="65" t="n"/>
      <c r="Q162" s="64" t="n"/>
      <c r="R162" s="65" t="n"/>
    </row>
    <row r="163">
      <c r="B163" s="60">
        <f>IFERROR('01_Key Requirements &amp; Use Cases'!$B162,"")</f>
        <v/>
      </c>
      <c r="C163" s="61">
        <f>IFERROR('01_Key Requirements &amp; Use Cases'!$C150,"")</f>
        <v/>
      </c>
      <c r="D163" s="62">
        <f>IFERROR('01_Key Requirements &amp; Use Cases'!$D150,"")</f>
        <v/>
      </c>
      <c r="E163" s="8">
        <f>IFERROR('01_Key Requirements &amp; Use Cases'!$E150,"")</f>
        <v/>
      </c>
      <c r="F163" s="63">
        <f>IFERROR('01_Key Requirements &amp; Use Cases'!$F150,"")</f>
        <v/>
      </c>
      <c r="G163" s="64" t="n"/>
      <c r="H163" s="65" t="n"/>
      <c r="I163" s="64" t="n"/>
      <c r="J163" s="65" t="n"/>
      <c r="K163" s="64" t="n"/>
      <c r="L163" s="65" t="n"/>
      <c r="M163" s="64" t="n"/>
      <c r="N163" s="65" t="n"/>
      <c r="O163" s="64" t="n"/>
      <c r="P163" s="65" t="n"/>
      <c r="Q163" s="64" t="n"/>
      <c r="R163" s="65" t="n"/>
    </row>
    <row r="164">
      <c r="B164" s="60">
        <f>IFERROR('01_Key Requirements &amp; Use Cases'!$B163,"")</f>
        <v/>
      </c>
      <c r="C164" s="61">
        <f>IFERROR('01_Key Requirements &amp; Use Cases'!$C151,"")</f>
        <v/>
      </c>
      <c r="D164" s="62">
        <f>IFERROR('01_Key Requirements &amp; Use Cases'!$D151,"")</f>
        <v/>
      </c>
      <c r="E164" s="8">
        <f>IFERROR('01_Key Requirements &amp; Use Cases'!$E151,"")</f>
        <v/>
      </c>
      <c r="F164" s="63">
        <f>IFERROR('01_Key Requirements &amp; Use Cases'!$F151,"")</f>
        <v/>
      </c>
      <c r="G164" s="64" t="n"/>
      <c r="H164" s="65" t="n"/>
      <c r="I164" s="64" t="n"/>
      <c r="J164" s="65" t="n"/>
      <c r="K164" s="64" t="n"/>
      <c r="L164" s="65" t="n"/>
      <c r="M164" s="64" t="n"/>
      <c r="N164" s="65" t="n"/>
      <c r="O164" s="64" t="n"/>
      <c r="P164" s="65" t="n"/>
      <c r="Q164" s="64" t="n"/>
      <c r="R164" s="65" t="n"/>
    </row>
    <row r="165">
      <c r="B165" s="60">
        <f>IFERROR('01_Key Requirements &amp; Use Cases'!$B164,"")</f>
        <v/>
      </c>
      <c r="C165" s="61">
        <f>IFERROR('01_Key Requirements &amp; Use Cases'!$C152,"")</f>
        <v/>
      </c>
      <c r="D165" s="62">
        <f>IFERROR('01_Key Requirements &amp; Use Cases'!$D152,"")</f>
        <v/>
      </c>
      <c r="E165" s="8">
        <f>IFERROR('01_Key Requirements &amp; Use Cases'!$E152,"")</f>
        <v/>
      </c>
      <c r="F165" s="63">
        <f>IFERROR('01_Key Requirements &amp; Use Cases'!$F152,"")</f>
        <v/>
      </c>
      <c r="G165" s="64" t="n"/>
      <c r="H165" s="65" t="n"/>
      <c r="I165" s="64" t="n"/>
      <c r="J165" s="65" t="n"/>
      <c r="K165" s="64" t="n"/>
      <c r="L165" s="65" t="n"/>
      <c r="M165" s="64" t="n"/>
      <c r="N165" s="65" t="n"/>
      <c r="O165" s="64" t="n"/>
      <c r="P165" s="65" t="n"/>
      <c r="Q165" s="64" t="n"/>
      <c r="R165" s="65" t="n"/>
    </row>
    <row r="166">
      <c r="B166" s="60">
        <f>IFERROR('01_Key Requirements &amp; Use Cases'!$B165,"")</f>
        <v/>
      </c>
      <c r="C166" s="61">
        <f>IFERROR('01_Key Requirements &amp; Use Cases'!$C153,"")</f>
        <v/>
      </c>
      <c r="D166" s="62">
        <f>IFERROR('01_Key Requirements &amp; Use Cases'!$D153,"")</f>
        <v/>
      </c>
      <c r="E166" s="8">
        <f>IFERROR('01_Key Requirements &amp; Use Cases'!$E153,"")</f>
        <v/>
      </c>
      <c r="F166" s="63">
        <f>IFERROR('01_Key Requirements &amp; Use Cases'!$F153,"")</f>
        <v/>
      </c>
      <c r="G166" s="64" t="n"/>
      <c r="H166" s="65" t="n"/>
      <c r="I166" s="64" t="n"/>
      <c r="J166" s="65" t="n"/>
      <c r="K166" s="64" t="n"/>
      <c r="L166" s="65" t="n"/>
      <c r="M166" s="64" t="n"/>
      <c r="N166" s="65" t="n"/>
      <c r="O166" s="64" t="n"/>
      <c r="P166" s="65" t="n"/>
      <c r="Q166" s="64" t="n"/>
      <c r="R166" s="65" t="n"/>
    </row>
    <row r="167">
      <c r="B167" s="60">
        <f>IFERROR('01_Key Requirements &amp; Use Cases'!$B166,"")</f>
        <v/>
      </c>
      <c r="C167" s="61">
        <f>IFERROR('01_Key Requirements &amp; Use Cases'!$C154,"")</f>
        <v/>
      </c>
      <c r="D167" s="62">
        <f>IFERROR('01_Key Requirements &amp; Use Cases'!$D154,"")</f>
        <v/>
      </c>
      <c r="E167" s="8">
        <f>IFERROR('01_Key Requirements &amp; Use Cases'!$E154,"")</f>
        <v/>
      </c>
      <c r="F167" s="63">
        <f>IFERROR('01_Key Requirements &amp; Use Cases'!$F154,"")</f>
        <v/>
      </c>
      <c r="G167" s="64" t="n"/>
      <c r="H167" s="65" t="n"/>
      <c r="I167" s="64" t="n"/>
      <c r="J167" s="65" t="n"/>
      <c r="K167" s="64" t="n"/>
      <c r="L167" s="65" t="n"/>
      <c r="M167" s="64" t="n"/>
      <c r="N167" s="65" t="n"/>
      <c r="O167" s="64" t="n"/>
      <c r="P167" s="65" t="n"/>
      <c r="Q167" s="64" t="n"/>
      <c r="R167" s="65" t="n"/>
    </row>
    <row r="168">
      <c r="B168" s="60">
        <f>IFERROR('01_Key Requirements &amp; Use Cases'!$B167,"")</f>
        <v/>
      </c>
      <c r="C168" s="61">
        <f>IFERROR('01_Key Requirements &amp; Use Cases'!$C155,"")</f>
        <v/>
      </c>
      <c r="D168" s="62">
        <f>IFERROR('01_Key Requirements &amp; Use Cases'!$D155,"")</f>
        <v/>
      </c>
      <c r="E168" s="8">
        <f>IFERROR('01_Key Requirements &amp; Use Cases'!$E155,"")</f>
        <v/>
      </c>
      <c r="F168" s="63">
        <f>IFERROR('01_Key Requirements &amp; Use Cases'!$F155,"")</f>
        <v/>
      </c>
      <c r="G168" s="64" t="n"/>
      <c r="H168" s="65" t="n"/>
      <c r="I168" s="64" t="n"/>
      <c r="J168" s="65" t="n"/>
      <c r="K168" s="64" t="n"/>
      <c r="L168" s="65" t="n"/>
      <c r="M168" s="64" t="n"/>
      <c r="N168" s="65" t="n"/>
      <c r="O168" s="64" t="n"/>
      <c r="P168" s="65" t="n"/>
      <c r="Q168" s="64" t="n"/>
      <c r="R168" s="65" t="n"/>
    </row>
    <row r="169">
      <c r="B169" s="60">
        <f>IFERROR('01_Key Requirements &amp; Use Cases'!$B168,"")</f>
        <v/>
      </c>
      <c r="C169" s="61">
        <f>IFERROR('01_Key Requirements &amp; Use Cases'!$C156,"")</f>
        <v/>
      </c>
      <c r="D169" s="62">
        <f>IFERROR('01_Key Requirements &amp; Use Cases'!$D156,"")</f>
        <v/>
      </c>
      <c r="E169" s="8">
        <f>IFERROR('01_Key Requirements &amp; Use Cases'!$E156,"")</f>
        <v/>
      </c>
      <c r="F169" s="63">
        <f>IFERROR('01_Key Requirements &amp; Use Cases'!$F156,"")</f>
        <v/>
      </c>
      <c r="G169" s="64" t="n"/>
      <c r="H169" s="65" t="n"/>
      <c r="I169" s="64" t="n"/>
      <c r="J169" s="65" t="n"/>
      <c r="K169" s="64" t="n"/>
      <c r="L169" s="65" t="n"/>
      <c r="M169" s="64" t="n"/>
      <c r="N169" s="65" t="n"/>
      <c r="O169" s="64" t="n"/>
      <c r="P169" s="65" t="n"/>
      <c r="Q169" s="64" t="n"/>
      <c r="R169" s="65" t="n"/>
    </row>
    <row r="170">
      <c r="B170" s="60">
        <f>IFERROR('01_Key Requirements &amp; Use Cases'!$B169,"")</f>
        <v/>
      </c>
      <c r="C170" s="61">
        <f>IFERROR('01_Key Requirements &amp; Use Cases'!$C157,"")</f>
        <v/>
      </c>
      <c r="D170" s="62">
        <f>IFERROR('01_Key Requirements &amp; Use Cases'!$D157,"")</f>
        <v/>
      </c>
      <c r="E170" s="8">
        <f>IFERROR('01_Key Requirements &amp; Use Cases'!$E157,"")</f>
        <v/>
      </c>
      <c r="F170" s="63">
        <f>IFERROR('01_Key Requirements &amp; Use Cases'!$F157,"")</f>
        <v/>
      </c>
      <c r="G170" s="64" t="n"/>
      <c r="H170" s="65" t="n"/>
      <c r="I170" s="64" t="n"/>
      <c r="J170" s="65" t="n"/>
      <c r="K170" s="64" t="n"/>
      <c r="L170" s="65" t="n"/>
      <c r="M170" s="64" t="n"/>
      <c r="N170" s="65" t="n"/>
      <c r="O170" s="64" t="n"/>
      <c r="P170" s="65" t="n"/>
      <c r="Q170" s="64" t="n"/>
      <c r="R170" s="65" t="n"/>
    </row>
    <row r="171">
      <c r="B171" s="60">
        <f>IFERROR('01_Key Requirements &amp; Use Cases'!$B170,"")</f>
        <v/>
      </c>
      <c r="C171" s="61">
        <f>IFERROR('01_Key Requirements &amp; Use Cases'!$C158,"")</f>
        <v/>
      </c>
      <c r="D171" s="62">
        <f>IFERROR('01_Key Requirements &amp; Use Cases'!$D158,"")</f>
        <v/>
      </c>
      <c r="E171" s="8">
        <f>IFERROR('01_Key Requirements &amp; Use Cases'!$E158,"")</f>
        <v/>
      </c>
      <c r="F171" s="63">
        <f>IFERROR('01_Key Requirements &amp; Use Cases'!$F158,"")</f>
        <v/>
      </c>
      <c r="G171" s="64" t="n"/>
      <c r="H171" s="65" t="n"/>
      <c r="I171" s="64" t="n"/>
      <c r="J171" s="65" t="n"/>
      <c r="K171" s="64" t="n"/>
      <c r="L171" s="65" t="n"/>
      <c r="M171" s="64" t="n"/>
      <c r="N171" s="65" t="n"/>
      <c r="O171" s="64" t="n"/>
      <c r="P171" s="65" t="n"/>
      <c r="Q171" s="64" t="n"/>
      <c r="R171" s="65" t="n"/>
    </row>
    <row r="172">
      <c r="B172" s="60">
        <f>IFERROR('01_Key Requirements &amp; Use Cases'!$B171,"")</f>
        <v/>
      </c>
      <c r="C172" s="61">
        <f>IFERROR('01_Key Requirements &amp; Use Cases'!$C159,"")</f>
        <v/>
      </c>
      <c r="D172" s="62">
        <f>IFERROR('01_Key Requirements &amp; Use Cases'!$D159,"")</f>
        <v/>
      </c>
      <c r="E172" s="8">
        <f>IFERROR('01_Key Requirements &amp; Use Cases'!$E159,"")</f>
        <v/>
      </c>
      <c r="F172" s="63">
        <f>IFERROR('01_Key Requirements &amp; Use Cases'!$F159,"")</f>
        <v/>
      </c>
      <c r="G172" s="64" t="n"/>
      <c r="H172" s="65" t="n"/>
      <c r="I172" s="64" t="n"/>
      <c r="J172" s="65" t="n"/>
      <c r="K172" s="64" t="n"/>
      <c r="L172" s="65" t="n"/>
      <c r="M172" s="64" t="n"/>
      <c r="N172" s="65" t="n"/>
      <c r="O172" s="64" t="n"/>
      <c r="P172" s="65" t="n"/>
      <c r="Q172" s="64" t="n"/>
      <c r="R172" s="65" t="n"/>
    </row>
    <row r="173">
      <c r="B173" s="60">
        <f>IFERROR('01_Key Requirements &amp; Use Cases'!$B172,"")</f>
        <v/>
      </c>
      <c r="C173" s="61">
        <f>IFERROR('01_Key Requirements &amp; Use Cases'!$C160,"")</f>
        <v/>
      </c>
      <c r="D173" s="62">
        <f>IFERROR('01_Key Requirements &amp; Use Cases'!$D160,"")</f>
        <v/>
      </c>
      <c r="E173" s="8">
        <f>IFERROR('01_Key Requirements &amp; Use Cases'!$E160,"")</f>
        <v/>
      </c>
      <c r="F173" s="63">
        <f>IFERROR('01_Key Requirements &amp; Use Cases'!$F160,"")</f>
        <v/>
      </c>
      <c r="G173" s="64" t="n"/>
      <c r="H173" s="65" t="n"/>
      <c r="I173" s="64" t="n"/>
      <c r="J173" s="65" t="n"/>
      <c r="K173" s="64" t="n"/>
      <c r="L173" s="65" t="n"/>
      <c r="M173" s="64" t="n"/>
      <c r="N173" s="65" t="n"/>
      <c r="O173" s="64" t="n"/>
      <c r="P173" s="65" t="n"/>
      <c r="Q173" s="64" t="n"/>
      <c r="R173" s="65" t="n"/>
    </row>
    <row r="174">
      <c r="B174" s="60">
        <f>IFERROR('01_Key Requirements &amp; Use Cases'!$B173,"")</f>
        <v/>
      </c>
      <c r="C174" s="61">
        <f>IFERROR('01_Key Requirements &amp; Use Cases'!$C161,"")</f>
        <v/>
      </c>
      <c r="D174" s="62">
        <f>IFERROR('01_Key Requirements &amp; Use Cases'!$D161,"")</f>
        <v/>
      </c>
      <c r="E174" s="8">
        <f>IFERROR('01_Key Requirements &amp; Use Cases'!$E161,"")</f>
        <v/>
      </c>
      <c r="F174" s="63">
        <f>IFERROR('01_Key Requirements &amp; Use Cases'!$F161,"")</f>
        <v/>
      </c>
      <c r="G174" s="64" t="n"/>
      <c r="H174" s="65" t="n"/>
      <c r="I174" s="64" t="n"/>
      <c r="J174" s="65" t="n"/>
      <c r="K174" s="64" t="n"/>
      <c r="L174" s="65" t="n"/>
      <c r="M174" s="64" t="n"/>
      <c r="N174" s="65" t="n"/>
      <c r="O174" s="64" t="n"/>
      <c r="P174" s="65" t="n"/>
      <c r="Q174" s="64" t="n"/>
      <c r="R174" s="65" t="n"/>
    </row>
    <row r="175">
      <c r="B175" s="60">
        <f>IFERROR('01_Key Requirements &amp; Use Cases'!$B174,"")</f>
        <v/>
      </c>
      <c r="C175" s="61">
        <f>IFERROR('01_Key Requirements &amp; Use Cases'!$C162,"")</f>
        <v/>
      </c>
      <c r="D175" s="62">
        <f>IFERROR('01_Key Requirements &amp; Use Cases'!$D162,"")</f>
        <v/>
      </c>
      <c r="E175" s="8">
        <f>IFERROR('01_Key Requirements &amp; Use Cases'!$E162,"")</f>
        <v/>
      </c>
      <c r="F175" s="63">
        <f>IFERROR('01_Key Requirements &amp; Use Cases'!$F162,"")</f>
        <v/>
      </c>
      <c r="G175" s="64" t="n"/>
      <c r="H175" s="65" t="n"/>
      <c r="I175" s="64" t="n"/>
      <c r="J175" s="65" t="n"/>
      <c r="K175" s="64" t="n"/>
      <c r="L175" s="65" t="n"/>
      <c r="M175" s="64" t="n"/>
      <c r="N175" s="65" t="n"/>
      <c r="O175" s="64" t="n"/>
      <c r="P175" s="65" t="n"/>
      <c r="Q175" s="64" t="n"/>
      <c r="R175" s="65" t="n"/>
    </row>
    <row r="176">
      <c r="B176" s="60">
        <f>IFERROR('01_Key Requirements &amp; Use Cases'!$B175,"")</f>
        <v/>
      </c>
      <c r="C176" s="61">
        <f>IFERROR('01_Key Requirements &amp; Use Cases'!$C163,"")</f>
        <v/>
      </c>
      <c r="D176" s="62">
        <f>IFERROR('01_Key Requirements &amp; Use Cases'!$D163,"")</f>
        <v/>
      </c>
      <c r="E176" s="8">
        <f>IFERROR('01_Key Requirements &amp; Use Cases'!$E163,"")</f>
        <v/>
      </c>
      <c r="F176" s="63">
        <f>IFERROR('01_Key Requirements &amp; Use Cases'!$F163,"")</f>
        <v/>
      </c>
      <c r="G176" s="64" t="n"/>
      <c r="H176" s="65" t="n"/>
      <c r="I176" s="64" t="n"/>
      <c r="J176" s="65" t="n"/>
      <c r="K176" s="64" t="n"/>
      <c r="L176" s="65" t="n"/>
      <c r="M176" s="64" t="n"/>
      <c r="N176" s="65" t="n"/>
      <c r="O176" s="64" t="n"/>
      <c r="P176" s="65" t="n"/>
      <c r="Q176" s="64" t="n"/>
      <c r="R176" s="65" t="n"/>
    </row>
    <row r="177">
      <c r="B177" s="60">
        <f>IFERROR('01_Key Requirements &amp; Use Cases'!$B176,"")</f>
        <v/>
      </c>
      <c r="C177" s="61">
        <f>IFERROR('01_Key Requirements &amp; Use Cases'!$C164,"")</f>
        <v/>
      </c>
      <c r="D177" s="62">
        <f>IFERROR('01_Key Requirements &amp; Use Cases'!$D164,"")</f>
        <v/>
      </c>
      <c r="E177" s="8">
        <f>IFERROR('01_Key Requirements &amp; Use Cases'!$E164,"")</f>
        <v/>
      </c>
      <c r="F177" s="63">
        <f>IFERROR('01_Key Requirements &amp; Use Cases'!$F164,"")</f>
        <v/>
      </c>
      <c r="G177" s="64" t="n"/>
      <c r="H177" s="65" t="n"/>
      <c r="I177" s="64" t="n"/>
      <c r="J177" s="65" t="n"/>
      <c r="K177" s="64" t="n"/>
      <c r="L177" s="65" t="n"/>
      <c r="M177" s="64" t="n"/>
      <c r="N177" s="65" t="n"/>
      <c r="O177" s="64" t="n"/>
      <c r="P177" s="65" t="n"/>
      <c r="Q177" s="64" t="n"/>
      <c r="R177" s="65" t="n"/>
    </row>
    <row r="178">
      <c r="B178" s="60">
        <f>IFERROR('01_Key Requirements &amp; Use Cases'!$B177,"")</f>
        <v/>
      </c>
      <c r="C178" s="61">
        <f>IFERROR('01_Key Requirements &amp; Use Cases'!$C165,"")</f>
        <v/>
      </c>
      <c r="D178" s="62">
        <f>IFERROR('01_Key Requirements &amp; Use Cases'!$D165,"")</f>
        <v/>
      </c>
      <c r="E178" s="8">
        <f>IFERROR('01_Key Requirements &amp; Use Cases'!$E165,"")</f>
        <v/>
      </c>
      <c r="F178" s="63">
        <f>IFERROR('01_Key Requirements &amp; Use Cases'!$F165,"")</f>
        <v/>
      </c>
      <c r="G178" s="64" t="n"/>
      <c r="H178" s="65" t="n"/>
      <c r="I178" s="64" t="n"/>
      <c r="J178" s="65" t="n"/>
      <c r="K178" s="64" t="n"/>
      <c r="L178" s="65" t="n"/>
      <c r="M178" s="64" t="n"/>
      <c r="N178" s="65" t="n"/>
      <c r="O178" s="64" t="n"/>
      <c r="P178" s="65" t="n"/>
      <c r="Q178" s="64" t="n"/>
      <c r="R178" s="65" t="n"/>
    </row>
    <row r="179">
      <c r="B179" s="60">
        <f>IFERROR('01_Key Requirements &amp; Use Cases'!$B178,"")</f>
        <v/>
      </c>
      <c r="C179" s="61">
        <f>IFERROR('01_Key Requirements &amp; Use Cases'!$C166,"")</f>
        <v/>
      </c>
      <c r="D179" s="62">
        <f>IFERROR('01_Key Requirements &amp; Use Cases'!$D166,"")</f>
        <v/>
      </c>
      <c r="E179" s="8">
        <f>IFERROR('01_Key Requirements &amp; Use Cases'!$E166,"")</f>
        <v/>
      </c>
      <c r="F179" s="63">
        <f>IFERROR('01_Key Requirements &amp; Use Cases'!$F166,"")</f>
        <v/>
      </c>
      <c r="G179" s="64" t="n"/>
      <c r="H179" s="65" t="n"/>
      <c r="I179" s="64" t="n"/>
      <c r="J179" s="65" t="n"/>
      <c r="K179" s="64" t="n"/>
      <c r="L179" s="65" t="n"/>
      <c r="M179" s="64" t="n"/>
      <c r="N179" s="65" t="n"/>
      <c r="O179" s="64" t="n"/>
      <c r="P179" s="65" t="n"/>
      <c r="Q179" s="64" t="n"/>
      <c r="R179" s="65" t="n"/>
    </row>
    <row r="180">
      <c r="B180" s="60">
        <f>IFERROR('01_Key Requirements &amp; Use Cases'!$B179,"")</f>
        <v/>
      </c>
      <c r="C180" s="61">
        <f>IFERROR('01_Key Requirements &amp; Use Cases'!$C167,"")</f>
        <v/>
      </c>
      <c r="D180" s="62">
        <f>IFERROR('01_Key Requirements &amp; Use Cases'!$D167,"")</f>
        <v/>
      </c>
      <c r="E180" s="8">
        <f>IFERROR('01_Key Requirements &amp; Use Cases'!$E167,"")</f>
        <v/>
      </c>
      <c r="F180" s="63">
        <f>IFERROR('01_Key Requirements &amp; Use Cases'!$F167,"")</f>
        <v/>
      </c>
      <c r="G180" s="64" t="n"/>
      <c r="H180" s="65" t="n"/>
      <c r="I180" s="64" t="n"/>
      <c r="J180" s="65" t="n"/>
      <c r="K180" s="64" t="n"/>
      <c r="L180" s="65" t="n"/>
      <c r="M180" s="64" t="n"/>
      <c r="N180" s="65" t="n"/>
      <c r="O180" s="64" t="n"/>
      <c r="P180" s="65" t="n"/>
      <c r="Q180" s="64" t="n"/>
      <c r="R180" s="65" t="n"/>
    </row>
    <row r="181">
      <c r="B181" s="60">
        <f>IFERROR('01_Key Requirements &amp; Use Cases'!$B180,"")</f>
        <v/>
      </c>
      <c r="C181" s="61">
        <f>IFERROR('01_Key Requirements &amp; Use Cases'!$C168,"")</f>
        <v/>
      </c>
      <c r="D181" s="62">
        <f>IFERROR('01_Key Requirements &amp; Use Cases'!$D168,"")</f>
        <v/>
      </c>
      <c r="E181" s="8">
        <f>IFERROR('01_Key Requirements &amp; Use Cases'!$E168,"")</f>
        <v/>
      </c>
      <c r="F181" s="63">
        <f>IFERROR('01_Key Requirements &amp; Use Cases'!$F168,"")</f>
        <v/>
      </c>
      <c r="G181" s="64" t="n"/>
      <c r="H181" s="65" t="n"/>
      <c r="I181" s="64" t="n"/>
      <c r="J181" s="65" t="n"/>
      <c r="K181" s="64" t="n"/>
      <c r="L181" s="65" t="n"/>
      <c r="M181" s="64" t="n"/>
      <c r="N181" s="65" t="n"/>
      <c r="O181" s="64" t="n"/>
      <c r="P181" s="65" t="n"/>
      <c r="Q181" s="64" t="n"/>
      <c r="R181" s="65" t="n"/>
    </row>
    <row r="182">
      <c r="B182" s="60">
        <f>IFERROR('01_Key Requirements &amp; Use Cases'!$B181,"")</f>
        <v/>
      </c>
      <c r="C182" s="61">
        <f>IFERROR('01_Key Requirements &amp; Use Cases'!$C169,"")</f>
        <v/>
      </c>
      <c r="D182" s="62">
        <f>IFERROR('01_Key Requirements &amp; Use Cases'!$D169,"")</f>
        <v/>
      </c>
      <c r="E182" s="8">
        <f>IFERROR('01_Key Requirements &amp; Use Cases'!$E169,"")</f>
        <v/>
      </c>
      <c r="F182" s="63">
        <f>IFERROR('01_Key Requirements &amp; Use Cases'!$F169,"")</f>
        <v/>
      </c>
      <c r="G182" s="64" t="n"/>
      <c r="H182" s="65" t="n"/>
      <c r="I182" s="64" t="n"/>
      <c r="J182" s="65" t="n"/>
      <c r="K182" s="64" t="n"/>
      <c r="L182" s="65" t="n"/>
      <c r="M182" s="64" t="n"/>
      <c r="N182" s="65" t="n"/>
      <c r="O182" s="64" t="n"/>
      <c r="P182" s="65" t="n"/>
      <c r="Q182" s="64" t="n"/>
      <c r="R182" s="65" t="n"/>
    </row>
    <row r="183">
      <c r="B183" s="60">
        <f>IFERROR('01_Key Requirements &amp; Use Cases'!$B182,"")</f>
        <v/>
      </c>
      <c r="C183" s="61">
        <f>IFERROR('01_Key Requirements &amp; Use Cases'!$C170,"")</f>
        <v/>
      </c>
      <c r="D183" s="62">
        <f>IFERROR('01_Key Requirements &amp; Use Cases'!$D170,"")</f>
        <v/>
      </c>
      <c r="E183" s="8">
        <f>IFERROR('01_Key Requirements &amp; Use Cases'!$E170,"")</f>
        <v/>
      </c>
      <c r="F183" s="63">
        <f>IFERROR('01_Key Requirements &amp; Use Cases'!$F170,"")</f>
        <v/>
      </c>
      <c r="G183" s="64" t="n"/>
      <c r="H183" s="65" t="n"/>
      <c r="I183" s="64" t="n"/>
      <c r="J183" s="65" t="n"/>
      <c r="K183" s="64" t="n"/>
      <c r="L183" s="65" t="n"/>
      <c r="M183" s="64" t="n"/>
      <c r="N183" s="65" t="n"/>
      <c r="O183" s="64" t="n"/>
      <c r="P183" s="65" t="n"/>
      <c r="Q183" s="64" t="n"/>
      <c r="R183" s="65" t="n"/>
    </row>
    <row r="184">
      <c r="B184" s="60">
        <f>IFERROR('01_Key Requirements &amp; Use Cases'!$B183,"")</f>
        <v/>
      </c>
      <c r="C184" s="61">
        <f>IFERROR('01_Key Requirements &amp; Use Cases'!$C171,"")</f>
        <v/>
      </c>
      <c r="D184" s="62">
        <f>IFERROR('01_Key Requirements &amp; Use Cases'!$D171,"")</f>
        <v/>
      </c>
      <c r="E184" s="8">
        <f>IFERROR('01_Key Requirements &amp; Use Cases'!$E171,"")</f>
        <v/>
      </c>
      <c r="F184" s="63">
        <f>IFERROR('01_Key Requirements &amp; Use Cases'!$F171,"")</f>
        <v/>
      </c>
      <c r="G184" s="64" t="n"/>
      <c r="H184" s="65" t="n"/>
      <c r="I184" s="64" t="n"/>
      <c r="J184" s="65" t="n"/>
      <c r="K184" s="64" t="n"/>
      <c r="L184" s="65" t="n"/>
      <c r="M184" s="64" t="n"/>
      <c r="N184" s="65" t="n"/>
      <c r="O184" s="64" t="n"/>
      <c r="P184" s="65" t="n"/>
      <c r="Q184" s="64" t="n"/>
      <c r="R184" s="65" t="n"/>
    </row>
    <row r="185">
      <c r="B185" s="60">
        <f>IFERROR('01_Key Requirements &amp; Use Cases'!$B184,"")</f>
        <v/>
      </c>
      <c r="C185" s="61">
        <f>IFERROR('01_Key Requirements &amp; Use Cases'!$C172,"")</f>
        <v/>
      </c>
      <c r="D185" s="62">
        <f>IFERROR('01_Key Requirements &amp; Use Cases'!$D172,"")</f>
        <v/>
      </c>
      <c r="E185" s="8">
        <f>IFERROR('01_Key Requirements &amp; Use Cases'!$E172,"")</f>
        <v/>
      </c>
      <c r="F185" s="63">
        <f>IFERROR('01_Key Requirements &amp; Use Cases'!$F172,"")</f>
        <v/>
      </c>
      <c r="G185" s="64" t="n"/>
      <c r="H185" s="65" t="n"/>
      <c r="I185" s="64" t="n"/>
      <c r="J185" s="65" t="n"/>
      <c r="K185" s="64" t="n"/>
      <c r="L185" s="65" t="n"/>
      <c r="M185" s="64" t="n"/>
      <c r="N185" s="65" t="n"/>
      <c r="O185" s="64" t="n"/>
      <c r="P185" s="65" t="n"/>
      <c r="Q185" s="64" t="n"/>
      <c r="R185" s="65" t="n"/>
    </row>
    <row r="186">
      <c r="B186" s="60">
        <f>IFERROR('01_Key Requirements &amp; Use Cases'!$B185,"")</f>
        <v/>
      </c>
      <c r="C186" s="61">
        <f>IFERROR('01_Key Requirements &amp; Use Cases'!$C173,"")</f>
        <v/>
      </c>
      <c r="D186" s="62">
        <f>IFERROR('01_Key Requirements &amp; Use Cases'!$D173,"")</f>
        <v/>
      </c>
      <c r="E186" s="8">
        <f>IFERROR('01_Key Requirements &amp; Use Cases'!$E173,"")</f>
        <v/>
      </c>
      <c r="F186" s="63">
        <f>IFERROR('01_Key Requirements &amp; Use Cases'!$F173,"")</f>
        <v/>
      </c>
      <c r="G186" s="64" t="n"/>
      <c r="H186" s="65" t="n"/>
      <c r="I186" s="64" t="n"/>
      <c r="J186" s="65" t="n"/>
      <c r="K186" s="64" t="n"/>
      <c r="L186" s="65" t="n"/>
      <c r="M186" s="64" t="n"/>
      <c r="N186" s="65" t="n"/>
      <c r="O186" s="64" t="n"/>
      <c r="P186" s="65" t="n"/>
      <c r="Q186" s="64" t="n"/>
      <c r="R186" s="65" t="n"/>
    </row>
    <row r="187">
      <c r="B187" s="60">
        <f>IFERROR('01_Key Requirements &amp; Use Cases'!$B186,"")</f>
        <v/>
      </c>
      <c r="C187" s="61">
        <f>IFERROR('01_Key Requirements &amp; Use Cases'!$C174,"")</f>
        <v/>
      </c>
      <c r="D187" s="62">
        <f>IFERROR('01_Key Requirements &amp; Use Cases'!$D174,"")</f>
        <v/>
      </c>
      <c r="E187" s="8">
        <f>IFERROR('01_Key Requirements &amp; Use Cases'!$E174,"")</f>
        <v/>
      </c>
      <c r="F187" s="63">
        <f>IFERROR('01_Key Requirements &amp; Use Cases'!$F174,"")</f>
        <v/>
      </c>
      <c r="G187" s="64" t="n"/>
      <c r="H187" s="65" t="n"/>
      <c r="I187" s="64" t="n"/>
      <c r="J187" s="65" t="n"/>
      <c r="K187" s="64" t="n"/>
      <c r="L187" s="65" t="n"/>
      <c r="M187" s="64" t="n"/>
      <c r="N187" s="65" t="n"/>
      <c r="O187" s="64" t="n"/>
      <c r="P187" s="65" t="n"/>
      <c r="Q187" s="64" t="n"/>
      <c r="R187" s="65" t="n"/>
    </row>
    <row r="188">
      <c r="B188" s="60">
        <f>IFERROR('01_Key Requirements &amp; Use Cases'!$B187,"")</f>
        <v/>
      </c>
      <c r="C188" s="61">
        <f>IFERROR('01_Key Requirements &amp; Use Cases'!$C175,"")</f>
        <v/>
      </c>
      <c r="D188" s="62">
        <f>IFERROR('01_Key Requirements &amp; Use Cases'!$D175,"")</f>
        <v/>
      </c>
      <c r="E188" s="8">
        <f>IFERROR('01_Key Requirements &amp; Use Cases'!$E175,"")</f>
        <v/>
      </c>
      <c r="F188" s="63">
        <f>IFERROR('01_Key Requirements &amp; Use Cases'!$F175,"")</f>
        <v/>
      </c>
      <c r="G188" s="64" t="n"/>
      <c r="H188" s="65" t="n"/>
      <c r="I188" s="64" t="n"/>
      <c r="J188" s="65" t="n"/>
      <c r="K188" s="64" t="n"/>
      <c r="L188" s="65" t="n"/>
      <c r="M188" s="64" t="n"/>
      <c r="N188" s="65" t="n"/>
      <c r="O188" s="64" t="n"/>
      <c r="P188" s="65" t="n"/>
      <c r="Q188" s="64" t="n"/>
      <c r="R188" s="65" t="n"/>
    </row>
    <row r="189">
      <c r="B189" s="60">
        <f>IFERROR('01_Key Requirements &amp; Use Cases'!$B188,"")</f>
        <v/>
      </c>
      <c r="C189" s="61">
        <f>IFERROR('01_Key Requirements &amp; Use Cases'!$C176,"")</f>
        <v/>
      </c>
      <c r="D189" s="62">
        <f>IFERROR('01_Key Requirements &amp; Use Cases'!$D176,"")</f>
        <v/>
      </c>
      <c r="E189" s="8">
        <f>IFERROR('01_Key Requirements &amp; Use Cases'!$E176,"")</f>
        <v/>
      </c>
      <c r="F189" s="63">
        <f>IFERROR('01_Key Requirements &amp; Use Cases'!$F176,"")</f>
        <v/>
      </c>
      <c r="G189" s="64" t="n"/>
      <c r="H189" s="65" t="n"/>
      <c r="I189" s="64" t="n"/>
      <c r="J189" s="65" t="n"/>
      <c r="K189" s="64" t="n"/>
      <c r="L189" s="65" t="n"/>
      <c r="M189" s="64" t="n"/>
      <c r="N189" s="65" t="n"/>
      <c r="O189" s="64" t="n"/>
      <c r="P189" s="65" t="n"/>
      <c r="Q189" s="64" t="n"/>
      <c r="R189" s="65" t="n"/>
    </row>
    <row r="190">
      <c r="B190" s="60">
        <f>IFERROR('01_Key Requirements &amp; Use Cases'!$B189,"")</f>
        <v/>
      </c>
      <c r="C190" s="61">
        <f>IFERROR('01_Key Requirements &amp; Use Cases'!$C177,"")</f>
        <v/>
      </c>
      <c r="D190" s="62">
        <f>IFERROR('01_Key Requirements &amp; Use Cases'!$D177,"")</f>
        <v/>
      </c>
      <c r="E190" s="8">
        <f>IFERROR('01_Key Requirements &amp; Use Cases'!$E177,"")</f>
        <v/>
      </c>
      <c r="F190" s="63">
        <f>IFERROR('01_Key Requirements &amp; Use Cases'!$F177,"")</f>
        <v/>
      </c>
      <c r="G190" s="64" t="n"/>
      <c r="H190" s="65" t="n"/>
      <c r="I190" s="64" t="n"/>
      <c r="J190" s="65" t="n"/>
      <c r="K190" s="64" t="n"/>
      <c r="L190" s="65" t="n"/>
      <c r="M190" s="64" t="n"/>
      <c r="N190" s="65" t="n"/>
      <c r="O190" s="64" t="n"/>
      <c r="P190" s="65" t="n"/>
      <c r="Q190" s="64" t="n"/>
      <c r="R190" s="65" t="n"/>
    </row>
    <row r="191">
      <c r="B191" s="60">
        <f>IFERROR('01_Key Requirements &amp; Use Cases'!$B190,"")</f>
        <v/>
      </c>
      <c r="C191" s="61">
        <f>IFERROR('01_Key Requirements &amp; Use Cases'!$C178,"")</f>
        <v/>
      </c>
      <c r="D191" s="62">
        <f>IFERROR('01_Key Requirements &amp; Use Cases'!$D178,"")</f>
        <v/>
      </c>
      <c r="E191" s="8">
        <f>IFERROR('01_Key Requirements &amp; Use Cases'!$E178,"")</f>
        <v/>
      </c>
      <c r="F191" s="63">
        <f>IFERROR('01_Key Requirements &amp; Use Cases'!$F178,"")</f>
        <v/>
      </c>
      <c r="G191" s="64" t="n"/>
      <c r="H191" s="65" t="n"/>
      <c r="I191" s="64" t="n"/>
      <c r="J191" s="65" t="n"/>
      <c r="K191" s="64" t="n"/>
      <c r="L191" s="65" t="n"/>
      <c r="M191" s="64" t="n"/>
      <c r="N191" s="65" t="n"/>
      <c r="O191" s="64" t="n"/>
      <c r="P191" s="65" t="n"/>
      <c r="Q191" s="64" t="n"/>
      <c r="R191" s="65" t="n"/>
    </row>
    <row r="192">
      <c r="B192" s="60">
        <f>IFERROR('01_Key Requirements &amp; Use Cases'!$B191,"")</f>
        <v/>
      </c>
      <c r="C192" s="61">
        <f>IFERROR('01_Key Requirements &amp; Use Cases'!$C179,"")</f>
        <v/>
      </c>
      <c r="D192" s="62">
        <f>IFERROR('01_Key Requirements &amp; Use Cases'!$D179,"")</f>
        <v/>
      </c>
      <c r="E192" s="8">
        <f>IFERROR('01_Key Requirements &amp; Use Cases'!$E179,"")</f>
        <v/>
      </c>
      <c r="F192" s="63">
        <f>IFERROR('01_Key Requirements &amp; Use Cases'!$F179,"")</f>
        <v/>
      </c>
      <c r="G192" s="64" t="n"/>
      <c r="H192" s="65" t="n"/>
      <c r="I192" s="64" t="n"/>
      <c r="J192" s="65" t="n"/>
      <c r="K192" s="64" t="n"/>
      <c r="L192" s="65" t="n"/>
      <c r="M192" s="64" t="n"/>
      <c r="N192" s="65" t="n"/>
      <c r="O192" s="64" t="n"/>
      <c r="P192" s="65" t="n"/>
      <c r="Q192" s="64" t="n"/>
      <c r="R192" s="65" t="n"/>
    </row>
    <row r="193">
      <c r="B193" s="60">
        <f>IFERROR('01_Key Requirements &amp; Use Cases'!$B192,"")</f>
        <v/>
      </c>
      <c r="C193" s="61">
        <f>IFERROR('01_Key Requirements &amp; Use Cases'!$C180,"")</f>
        <v/>
      </c>
      <c r="D193" s="62">
        <f>IFERROR('01_Key Requirements &amp; Use Cases'!$D180,"")</f>
        <v/>
      </c>
      <c r="E193" s="8">
        <f>IFERROR('01_Key Requirements &amp; Use Cases'!$E180,"")</f>
        <v/>
      </c>
      <c r="F193" s="63">
        <f>IFERROR('01_Key Requirements &amp; Use Cases'!$F180,"")</f>
        <v/>
      </c>
      <c r="G193" s="64" t="n"/>
      <c r="H193" s="65" t="n"/>
      <c r="I193" s="64" t="n"/>
      <c r="J193" s="65" t="n"/>
      <c r="K193" s="64" t="n"/>
      <c r="L193" s="65" t="n"/>
      <c r="M193" s="64" t="n"/>
      <c r="N193" s="65" t="n"/>
      <c r="O193" s="64" t="n"/>
      <c r="P193" s="65" t="n"/>
      <c r="Q193" s="64" t="n"/>
      <c r="R193" s="65" t="n"/>
    </row>
    <row r="194">
      <c r="B194" s="60">
        <f>IFERROR('01_Key Requirements &amp; Use Cases'!$B193,"")</f>
        <v/>
      </c>
      <c r="C194" s="61">
        <f>IFERROR('01_Key Requirements &amp; Use Cases'!$C181,"")</f>
        <v/>
      </c>
      <c r="D194" s="62">
        <f>IFERROR('01_Key Requirements &amp; Use Cases'!$D181,"")</f>
        <v/>
      </c>
      <c r="E194" s="8">
        <f>IFERROR('01_Key Requirements &amp; Use Cases'!$E181,"")</f>
        <v/>
      </c>
      <c r="F194" s="63">
        <f>IFERROR('01_Key Requirements &amp; Use Cases'!$F181,"")</f>
        <v/>
      </c>
      <c r="G194" s="64" t="n"/>
      <c r="H194" s="65" t="n"/>
      <c r="I194" s="64" t="n"/>
      <c r="J194" s="65" t="n"/>
      <c r="K194" s="64" t="n"/>
      <c r="L194" s="65" t="n"/>
      <c r="M194" s="64" t="n"/>
      <c r="N194" s="65" t="n"/>
      <c r="O194" s="64" t="n"/>
      <c r="P194" s="65" t="n"/>
      <c r="Q194" s="64" t="n"/>
      <c r="R194" s="65" t="n"/>
    </row>
    <row r="195">
      <c r="B195" s="60">
        <f>IFERROR('01_Key Requirements &amp; Use Cases'!$B194,"")</f>
        <v/>
      </c>
      <c r="C195" s="61">
        <f>IFERROR('01_Key Requirements &amp; Use Cases'!$C182,"")</f>
        <v/>
      </c>
      <c r="D195" s="62">
        <f>IFERROR('01_Key Requirements &amp; Use Cases'!$D182,"")</f>
        <v/>
      </c>
      <c r="E195" s="8">
        <f>IFERROR('01_Key Requirements &amp; Use Cases'!$E182,"")</f>
        <v/>
      </c>
      <c r="F195" s="63">
        <f>IFERROR('01_Key Requirements &amp; Use Cases'!$F182,"")</f>
        <v/>
      </c>
      <c r="G195" s="64" t="n"/>
      <c r="H195" s="65" t="n"/>
      <c r="I195" s="64" t="n"/>
      <c r="J195" s="65" t="n"/>
      <c r="K195" s="64" t="n"/>
      <c r="L195" s="65" t="n"/>
      <c r="M195" s="64" t="n"/>
      <c r="N195" s="65" t="n"/>
      <c r="O195" s="64" t="n"/>
      <c r="P195" s="65" t="n"/>
      <c r="Q195" s="64" t="n"/>
      <c r="R195" s="65" t="n"/>
    </row>
    <row r="196">
      <c r="B196" s="60">
        <f>IFERROR('01_Key Requirements &amp; Use Cases'!$B195,"")</f>
        <v/>
      </c>
      <c r="C196" s="61">
        <f>IFERROR('01_Key Requirements &amp; Use Cases'!$C183,"")</f>
        <v/>
      </c>
      <c r="D196" s="62">
        <f>IFERROR('01_Key Requirements &amp; Use Cases'!$D183,"")</f>
        <v/>
      </c>
      <c r="E196" s="8">
        <f>IFERROR('01_Key Requirements &amp; Use Cases'!$E183,"")</f>
        <v/>
      </c>
      <c r="F196" s="63">
        <f>IFERROR('01_Key Requirements &amp; Use Cases'!$F183,"")</f>
        <v/>
      </c>
      <c r="G196" s="64" t="n"/>
      <c r="H196" s="65" t="n"/>
      <c r="I196" s="64" t="n"/>
      <c r="J196" s="65" t="n"/>
      <c r="K196" s="64" t="n"/>
      <c r="L196" s="65" t="n"/>
      <c r="M196" s="64" t="n"/>
      <c r="N196" s="65" t="n"/>
      <c r="O196" s="64" t="n"/>
      <c r="P196" s="65" t="n"/>
      <c r="Q196" s="64" t="n"/>
      <c r="R196" s="65" t="n"/>
    </row>
    <row r="197">
      <c r="B197" s="60">
        <f>IFERROR('01_Key Requirements &amp; Use Cases'!$B196,"")</f>
        <v/>
      </c>
      <c r="C197" s="61">
        <f>IFERROR('01_Key Requirements &amp; Use Cases'!$C184,"")</f>
        <v/>
      </c>
      <c r="D197" s="62">
        <f>IFERROR('01_Key Requirements &amp; Use Cases'!$D184,"")</f>
        <v/>
      </c>
      <c r="E197" s="8">
        <f>IFERROR('01_Key Requirements &amp; Use Cases'!$E184,"")</f>
        <v/>
      </c>
      <c r="F197" s="63">
        <f>IFERROR('01_Key Requirements &amp; Use Cases'!$F184,"")</f>
        <v/>
      </c>
      <c r="G197" s="64" t="n"/>
      <c r="H197" s="65" t="n"/>
      <c r="I197" s="64" t="n"/>
      <c r="J197" s="65" t="n"/>
      <c r="K197" s="64" t="n"/>
      <c r="L197" s="65" t="n"/>
      <c r="M197" s="64" t="n"/>
      <c r="N197" s="65" t="n"/>
      <c r="O197" s="64" t="n"/>
      <c r="P197" s="65" t="n"/>
      <c r="Q197" s="64" t="n"/>
      <c r="R197" s="65" t="n"/>
    </row>
    <row r="198">
      <c r="B198" s="60">
        <f>IFERROR('01_Key Requirements &amp; Use Cases'!$B197,"")</f>
        <v/>
      </c>
      <c r="C198" s="61">
        <f>IFERROR('01_Key Requirements &amp; Use Cases'!$C185,"")</f>
        <v/>
      </c>
      <c r="D198" s="62">
        <f>IFERROR('01_Key Requirements &amp; Use Cases'!$D185,"")</f>
        <v/>
      </c>
      <c r="E198" s="8">
        <f>IFERROR('01_Key Requirements &amp; Use Cases'!$E185,"")</f>
        <v/>
      </c>
      <c r="F198" s="63">
        <f>IFERROR('01_Key Requirements &amp; Use Cases'!$F185,"")</f>
        <v/>
      </c>
      <c r="G198" s="64" t="n"/>
      <c r="H198" s="65" t="n"/>
      <c r="I198" s="64" t="n"/>
      <c r="J198" s="65" t="n"/>
      <c r="K198" s="64" t="n"/>
      <c r="L198" s="65" t="n"/>
      <c r="M198" s="64" t="n"/>
      <c r="N198" s="65" t="n"/>
      <c r="O198" s="64" t="n"/>
      <c r="P198" s="65" t="n"/>
      <c r="Q198" s="64" t="n"/>
      <c r="R198" s="65" t="n"/>
    </row>
    <row r="199">
      <c r="B199" s="60">
        <f>IFERROR('01_Key Requirements &amp; Use Cases'!$B198,"")</f>
        <v/>
      </c>
      <c r="C199" s="61">
        <f>IFERROR('01_Key Requirements &amp; Use Cases'!$C186,"")</f>
        <v/>
      </c>
      <c r="D199" s="62">
        <f>IFERROR('01_Key Requirements &amp; Use Cases'!$D186,"")</f>
        <v/>
      </c>
      <c r="E199" s="8">
        <f>IFERROR('01_Key Requirements &amp; Use Cases'!$E186,"")</f>
        <v/>
      </c>
      <c r="F199" s="63">
        <f>IFERROR('01_Key Requirements &amp; Use Cases'!$F186,"")</f>
        <v/>
      </c>
      <c r="G199" s="64" t="n"/>
      <c r="H199" s="65" t="n"/>
      <c r="I199" s="64" t="n"/>
      <c r="J199" s="65" t="n"/>
      <c r="K199" s="64" t="n"/>
      <c r="L199" s="65" t="n"/>
      <c r="M199" s="64" t="n"/>
      <c r="N199" s="65" t="n"/>
      <c r="O199" s="64" t="n"/>
      <c r="P199" s="65" t="n"/>
      <c r="Q199" s="64" t="n"/>
      <c r="R199" s="65" t="n"/>
    </row>
    <row r="200">
      <c r="B200" s="60">
        <f>IFERROR('01_Key Requirements &amp; Use Cases'!$B199,"")</f>
        <v/>
      </c>
      <c r="C200" s="61">
        <f>IFERROR('01_Key Requirements &amp; Use Cases'!$C187,"")</f>
        <v/>
      </c>
      <c r="D200" s="62">
        <f>IFERROR('01_Key Requirements &amp; Use Cases'!$D187,"")</f>
        <v/>
      </c>
      <c r="E200" s="8">
        <f>IFERROR('01_Key Requirements &amp; Use Cases'!$E187,"")</f>
        <v/>
      </c>
      <c r="F200" s="63">
        <f>IFERROR('01_Key Requirements &amp; Use Cases'!$F187,"")</f>
        <v/>
      </c>
      <c r="G200" s="64" t="n"/>
      <c r="H200" s="65" t="n"/>
      <c r="I200" s="64" t="n"/>
      <c r="J200" s="65" t="n"/>
      <c r="K200" s="64" t="n"/>
      <c r="L200" s="65" t="n"/>
      <c r="M200" s="64" t="n"/>
      <c r="N200" s="65" t="n"/>
      <c r="O200" s="64" t="n"/>
      <c r="P200" s="65" t="n"/>
      <c r="Q200" s="64" t="n"/>
      <c r="R200" s="65" t="n"/>
    </row>
    <row r="201">
      <c r="B201" s="60">
        <f>IFERROR('01_Key Requirements &amp; Use Cases'!$B200,"")</f>
        <v/>
      </c>
      <c r="C201" s="61">
        <f>IFERROR('01_Key Requirements &amp; Use Cases'!$C188,"")</f>
        <v/>
      </c>
      <c r="D201" s="62">
        <f>IFERROR('01_Key Requirements &amp; Use Cases'!$D188,"")</f>
        <v/>
      </c>
      <c r="E201" s="8">
        <f>IFERROR('01_Key Requirements &amp; Use Cases'!$E188,"")</f>
        <v/>
      </c>
      <c r="F201" s="63">
        <f>IFERROR('01_Key Requirements &amp; Use Cases'!$F188,"")</f>
        <v/>
      </c>
      <c r="G201" s="64" t="n"/>
      <c r="H201" s="65" t="n"/>
      <c r="I201" s="64" t="n"/>
      <c r="J201" s="65" t="n"/>
      <c r="K201" s="64" t="n"/>
      <c r="L201" s="65" t="n"/>
      <c r="M201" s="64" t="n"/>
      <c r="N201" s="65" t="n"/>
      <c r="O201" s="64" t="n"/>
      <c r="P201" s="65" t="n"/>
      <c r="Q201" s="64" t="n"/>
      <c r="R201" s="65" t="n"/>
    </row>
    <row r="202">
      <c r="B202" s="60">
        <f>IFERROR('01_Key Requirements &amp; Use Cases'!$B201,"")</f>
        <v/>
      </c>
      <c r="C202" s="61">
        <f>IFERROR('01_Key Requirements &amp; Use Cases'!$C189,"")</f>
        <v/>
      </c>
      <c r="D202" s="62">
        <f>IFERROR('01_Key Requirements &amp; Use Cases'!$D189,"")</f>
        <v/>
      </c>
      <c r="E202" s="8">
        <f>IFERROR('01_Key Requirements &amp; Use Cases'!$E189,"")</f>
        <v/>
      </c>
      <c r="F202" s="63">
        <f>IFERROR('01_Key Requirements &amp; Use Cases'!$F189,"")</f>
        <v/>
      </c>
      <c r="G202" s="64" t="n"/>
      <c r="H202" s="65" t="n"/>
      <c r="I202" s="64" t="n"/>
      <c r="J202" s="65" t="n"/>
      <c r="K202" s="64" t="n"/>
      <c r="L202" s="65" t="n"/>
      <c r="M202" s="64" t="n"/>
      <c r="N202" s="65" t="n"/>
      <c r="O202" s="64" t="n"/>
      <c r="P202" s="65" t="n"/>
      <c r="Q202" s="64" t="n"/>
      <c r="R202" s="65" t="n"/>
    </row>
    <row r="203">
      <c r="B203" s="60">
        <f>IFERROR('01_Key Requirements &amp; Use Cases'!$B202,"")</f>
        <v/>
      </c>
      <c r="C203" s="61">
        <f>IFERROR('01_Key Requirements &amp; Use Cases'!$C190,"")</f>
        <v/>
      </c>
      <c r="D203" s="62">
        <f>IFERROR('01_Key Requirements &amp; Use Cases'!$D190,"")</f>
        <v/>
      </c>
      <c r="E203" s="8">
        <f>IFERROR('01_Key Requirements &amp; Use Cases'!$E190,"")</f>
        <v/>
      </c>
      <c r="F203" s="63">
        <f>IFERROR('01_Key Requirements &amp; Use Cases'!$F190,"")</f>
        <v/>
      </c>
      <c r="G203" s="64" t="n"/>
      <c r="H203" s="65" t="n"/>
      <c r="I203" s="64" t="n"/>
      <c r="J203" s="65" t="n"/>
      <c r="K203" s="64" t="n"/>
      <c r="L203" s="65" t="n"/>
      <c r="M203" s="64" t="n"/>
      <c r="N203" s="65" t="n"/>
      <c r="O203" s="64" t="n"/>
      <c r="P203" s="65" t="n"/>
      <c r="Q203" s="64" t="n"/>
      <c r="R203" s="65" t="n"/>
    </row>
    <row r="204" ht="16.5" customHeight="1" thickBot="1">
      <c r="B204" s="14" t="inlineStr">
        <is>
          <t>Total Score</t>
        </is>
      </c>
      <c r="C204" s="15" t="n"/>
      <c r="D204" s="15" t="n"/>
      <c r="E204" s="15" t="n"/>
      <c r="F204" s="16" t="n"/>
      <c r="G204" s="17">
        <f>SUM(G4:G203)</f>
        <v/>
      </c>
      <c r="H204" s="66" t="n"/>
      <c r="I204" s="17">
        <f>SUM(I4:I203)</f>
        <v/>
      </c>
      <c r="J204" s="66" t="n"/>
      <c r="K204" s="17">
        <f>SUM(K4:K203)</f>
        <v/>
      </c>
      <c r="L204" s="66" t="n"/>
      <c r="M204" s="17">
        <f>SUM(M4:M203)</f>
        <v/>
      </c>
      <c r="N204" s="66" t="n"/>
      <c r="O204" s="17">
        <f>SUM(O4:O203)</f>
        <v/>
      </c>
      <c r="P204" s="66" t="n"/>
      <c r="Q204" s="17">
        <f>SUM(Q4:Q203)</f>
        <v/>
      </c>
      <c r="R204" s="66" t="n"/>
    </row>
  </sheetData>
  <mergeCells count="6">
    <mergeCell ref="O2:P2"/>
    <mergeCell ref="M2:N2"/>
    <mergeCell ref="Q2:R2"/>
    <mergeCell ref="G2:H2"/>
    <mergeCell ref="K2:L2"/>
    <mergeCell ref="I2:J2"/>
  </mergeCells>
  <conditionalFormatting sqref="C4:G203">
    <cfRule type="cellIs" priority="11" operator="equal" dxfId="0">
      <formula>0</formula>
    </cfRule>
    <cfRule type="cellIs" priority="12" operator="equal" dxfId="1">
      <formula>0</formula>
    </cfRule>
  </conditionalFormatting>
  <conditionalFormatting sqref="I4:I203">
    <cfRule type="cellIs" priority="9" operator="equal" dxfId="0">
      <formula>0</formula>
    </cfRule>
    <cfRule type="cellIs" priority="10" operator="equal" dxfId="1">
      <formula>0</formula>
    </cfRule>
  </conditionalFormatting>
  <conditionalFormatting sqref="K4:K203">
    <cfRule type="cellIs" priority="7" operator="equal" dxfId="0">
      <formula>0</formula>
    </cfRule>
    <cfRule type="cellIs" priority="8" operator="equal" dxfId="1">
      <formula>0</formula>
    </cfRule>
  </conditionalFormatting>
  <conditionalFormatting sqref="M4:M203">
    <cfRule type="cellIs" priority="5" operator="equal" dxfId="0">
      <formula>0</formula>
    </cfRule>
    <cfRule type="cellIs" priority="6" operator="equal" dxfId="1">
      <formula>0</formula>
    </cfRule>
  </conditionalFormatting>
  <conditionalFormatting sqref="O4:O203">
    <cfRule type="cellIs" priority="3" operator="equal" dxfId="0">
      <formula>0</formula>
    </cfRule>
    <cfRule type="cellIs" priority="4" operator="equal" dxfId="1">
      <formula>0</formula>
    </cfRule>
  </conditionalFormatting>
  <conditionalFormatting sqref="Q4:Q203">
    <cfRule type="cellIs" priority="1" operator="equal" dxfId="0">
      <formula>0</formula>
    </cfRule>
    <cfRule type="cellIs" priority="2" operator="equal" dxfId="1">
      <formula>0</formula>
    </cfRule>
  </conditionalFormatting>
  <pageMargins left="0.7" right="0.7" top="0.75" bottom="0.75" header="0.3" footer="0.3"/>
  <pageSetup orientation="portrait"/>
  <headerFooter>
    <oddHeader/>
    <oddFooter>&amp;L&amp;"Aptos"&amp;8 &amp;K317100_x000d_# [AIA – PUBLIC]</oddFooter>
    <evenHeader/>
    <evenFooter/>
    <firstHeader/>
    <firstFooter/>
  </headerFooter>
</worksheet>
</file>

<file path=xl/worksheets/sheet4.xml><?xml version="1.0" encoding="utf-8"?>
<worksheet xmlns="http://schemas.openxmlformats.org/spreadsheetml/2006/main">
  <sheetPr filterMode="1">
    <tabColor rgb="FFFF0066"/>
    <outlinePr summaryBelow="1" summaryRight="1"/>
    <pageSetUpPr/>
  </sheetPr>
  <dimension ref="B2:AJ231"/>
  <sheetViews>
    <sheetView zoomScale="90" zoomScaleNormal="90" workbookViewId="0">
      <pane xSplit="4" ySplit="3" topLeftCell="E43" activePane="bottomRight" state="frozen"/>
      <selection pane="topRight" activeCell="E1" sqref="E1"/>
      <selection pane="bottomLeft" activeCell="A4" sqref="A4"/>
      <selection pane="bottomRight" activeCell="I49" sqref="I49"/>
    </sheetView>
  </sheetViews>
  <sheetFormatPr baseColWidth="8" defaultColWidth="8.7109375" defaultRowHeight="15"/>
  <cols>
    <col width="2.7109375" customWidth="1" style="6" min="1" max="1"/>
    <col width="7" customWidth="1" style="6" min="2" max="2"/>
    <col width="50.42578125" customWidth="1" style="6" min="3" max="4"/>
    <col width="20" customWidth="1" style="6" min="5" max="5"/>
    <col width="12.140625" customWidth="1" style="6" min="6" max="6"/>
    <col outlineLevel="1" width="7.42578125" customWidth="1" style="6" min="7" max="8"/>
    <col outlineLevel="1" width="6.7109375" customWidth="1" style="6" min="9" max="12"/>
    <col width="7.42578125" customWidth="1" style="6" min="13" max="13"/>
    <col width="8.42578125" customWidth="1" style="6" min="14" max="14"/>
    <col width="50.42578125" customWidth="1" style="6" min="15" max="16"/>
    <col outlineLevel="1" width="7.42578125" customWidth="1" style="6" min="17" max="17"/>
    <col outlineLevel="1" width="6.7109375" customWidth="1" style="6" min="18" max="21"/>
    <col width="7.42578125" customWidth="1" style="6" min="22" max="22"/>
    <col width="8.42578125" customWidth="1" style="6" min="23" max="23"/>
    <col width="10.7109375" customWidth="1" style="6" min="24" max="24"/>
    <col width="50.42578125" customWidth="1" style="6" min="25" max="25"/>
    <col outlineLevel="1" width="45.7109375" customWidth="1" style="6" min="26" max="26"/>
    <col outlineLevel="1" width="8.7109375" customWidth="1" style="6" min="27" max="30"/>
    <col width="8.7109375" customWidth="1" style="6" min="31" max="34"/>
    <col width="45.7109375" customWidth="1" style="6" min="35" max="36"/>
    <col width="8.7109375" customWidth="1" style="6" min="37" max="37"/>
    <col width="8.7109375" customWidth="1" style="6" min="38" max="16384"/>
  </cols>
  <sheetData>
    <row r="1" ht="15.75" customHeight="1" thickBot="1"/>
    <row r="2" ht="19.35" customHeight="1">
      <c r="B2" s="18" t="n"/>
      <c r="C2" s="10" t="n"/>
      <c r="D2" s="11" t="n"/>
      <c r="E2" s="11" t="n"/>
      <c r="F2" s="11" t="n"/>
      <c r="G2" s="115" t="inlineStr">
        <is>
          <t>Option 1 - "Commvault"</t>
        </is>
      </c>
      <c r="H2" s="103" t="n"/>
      <c r="I2" s="103" t="n"/>
      <c r="J2" s="103" t="n"/>
      <c r="K2" s="103" t="n"/>
      <c r="L2" s="103" t="n"/>
      <c r="M2" s="103" t="n"/>
      <c r="N2" s="103" t="n"/>
      <c r="O2" s="103" t="n"/>
      <c r="P2" s="107" t="n"/>
      <c r="Q2" s="113" t="inlineStr">
        <is>
          <t>Option 2 - "Veeam"</t>
        </is>
      </c>
      <c r="R2" s="114" t="n"/>
      <c r="S2" s="114" t="n"/>
      <c r="T2" s="114" t="n"/>
      <c r="U2" s="114" t="n"/>
      <c r="V2" s="114" t="n"/>
      <c r="W2" s="114" t="n"/>
      <c r="X2" s="114" t="n"/>
      <c r="Y2" s="114" t="n"/>
      <c r="Z2" s="114" t="n"/>
      <c r="AA2" s="116" t="inlineStr">
        <is>
          <t>Option 3 - "Cohesity"</t>
        </is>
      </c>
      <c r="AB2" s="114" t="n"/>
      <c r="AC2" s="114" t="n"/>
      <c r="AD2" s="114" t="n"/>
      <c r="AE2" s="114" t="n"/>
      <c r="AF2" s="114" t="n"/>
      <c r="AG2" s="114" t="n"/>
      <c r="AH2" s="114" t="n"/>
      <c r="AI2" s="114" t="n"/>
      <c r="AJ2" s="114" t="n"/>
    </row>
    <row r="3" ht="50.1" customHeight="1">
      <c r="B3" s="19" t="inlineStr">
        <is>
          <t>Test
ID</t>
        </is>
      </c>
      <c r="C3" s="20" t="inlineStr">
        <is>
          <t>UAT Description</t>
        </is>
      </c>
      <c r="D3" s="21" t="inlineStr">
        <is>
          <t>Baseline / Expected Results
/ Acceptance Criteria</t>
        </is>
      </c>
      <c r="E3" s="21" t="inlineStr">
        <is>
          <t>Category
(Requirement)</t>
        </is>
      </c>
      <c r="F3" s="21" t="inlineStr">
        <is>
          <t>Weightage
1 = Low
2 = High
3 = Critical</t>
        </is>
      </c>
      <c r="G3" s="33" t="inlineStr">
        <is>
          <t>GE&amp;D</t>
        </is>
      </c>
      <c r="H3" s="34" t="inlineStr">
        <is>
          <t>GTO</t>
        </is>
      </c>
      <c r="I3" s="22" t="inlineStr">
        <is>
          <t>BCM</t>
        </is>
      </c>
      <c r="J3" s="23" t="inlineStr">
        <is>
          <t>GIS</t>
        </is>
      </c>
      <c r="K3" s="24" t="inlineStr">
        <is>
          <t>HK</t>
        </is>
      </c>
      <c r="L3" s="25" t="inlineStr">
        <is>
          <t>SG</t>
        </is>
      </c>
      <c r="M3" s="26" t="inlineStr">
        <is>
          <t>Avg.
Score</t>
        </is>
      </c>
      <c r="N3" s="27" t="inlineStr">
        <is>
          <t>Total
Score</t>
        </is>
      </c>
      <c r="O3" s="28" t="inlineStr">
        <is>
          <t>Actual / Observed Results</t>
        </is>
      </c>
      <c r="P3" s="29" t="inlineStr">
        <is>
          <t>Comments / Remarks</t>
        </is>
      </c>
      <c r="Q3" s="33" t="inlineStr">
        <is>
          <t>GE&amp;D</t>
        </is>
      </c>
      <c r="R3" s="34" t="inlineStr">
        <is>
          <t>GTO</t>
        </is>
      </c>
      <c r="S3" s="22" t="inlineStr">
        <is>
          <t>BCM</t>
        </is>
      </c>
      <c r="T3" s="23" t="inlineStr">
        <is>
          <t>GIS</t>
        </is>
      </c>
      <c r="U3" s="24" t="inlineStr">
        <is>
          <t>HK</t>
        </is>
      </c>
      <c r="V3" s="25" t="inlineStr">
        <is>
          <t>SG</t>
        </is>
      </c>
      <c r="W3" s="26" t="inlineStr">
        <is>
          <t>Avg.
Score</t>
        </is>
      </c>
      <c r="X3" s="27" t="inlineStr">
        <is>
          <t>Total
Score</t>
        </is>
      </c>
      <c r="Y3" s="28" t="inlineStr">
        <is>
          <t>Actual / Observed Results</t>
        </is>
      </c>
      <c r="Z3" s="29" t="inlineStr">
        <is>
          <t>Comments / Remarks</t>
        </is>
      </c>
      <c r="AA3" s="33" t="inlineStr">
        <is>
          <t>GE&amp;D</t>
        </is>
      </c>
      <c r="AB3" s="34" t="inlineStr">
        <is>
          <t>GTO</t>
        </is>
      </c>
      <c r="AC3" s="22" t="inlineStr">
        <is>
          <t>BCM</t>
        </is>
      </c>
      <c r="AD3" s="23" t="inlineStr">
        <is>
          <t>GIS</t>
        </is>
      </c>
      <c r="AE3" s="24" t="inlineStr">
        <is>
          <t>HK</t>
        </is>
      </c>
      <c r="AF3" s="25" t="inlineStr">
        <is>
          <t>SG</t>
        </is>
      </c>
      <c r="AG3" s="26" t="inlineStr">
        <is>
          <t>Avg.
Score</t>
        </is>
      </c>
      <c r="AH3" s="27" t="inlineStr">
        <is>
          <t>Total
Score</t>
        </is>
      </c>
      <c r="AI3" s="28" t="inlineStr">
        <is>
          <t>Actual / Observed Results</t>
        </is>
      </c>
      <c r="AJ3" s="29" t="inlineStr">
        <is>
          <t>Comments / Remarks</t>
        </is>
      </c>
    </row>
    <row r="4">
      <c r="B4" s="72" t="inlineStr">
        <is>
          <t>T. 01</t>
        </is>
      </c>
      <c r="C4" s="52" t="inlineStr">
        <is>
          <t xml:space="preserve">Windows 2012 backup / restore </t>
        </is>
      </c>
      <c r="D4" s="52" t="inlineStr">
        <is>
          <t>Backup and restore success</t>
        </is>
      </c>
      <c r="E4" s="3" t="inlineStr">
        <is>
          <t>Functional</t>
        </is>
      </c>
      <c r="F4" s="2" t="n">
        <v>1</v>
      </c>
      <c r="G4" s="72" t="n">
        <v>3</v>
      </c>
      <c r="H4" s="73" t="n"/>
      <c r="I4" s="74" t="n"/>
      <c r="J4" s="74" t="n"/>
      <c r="K4" s="74" t="n">
        <v>3</v>
      </c>
      <c r="L4" s="74" t="n">
        <v>3</v>
      </c>
      <c r="M4" s="122">
        <f>IFERROR(AVERAGE($G4,$H4,$I4,$J4,$K4,$L4),"")</f>
        <v/>
      </c>
      <c r="N4" s="76">
        <f>IFERROR($F4*$M4,"")</f>
        <v/>
      </c>
      <c r="O4" s="77" t="inlineStr">
        <is>
          <t>AW:Tested in POC with success</t>
        </is>
      </c>
      <c r="P4" s="77" t="n"/>
      <c r="Q4" s="72" t="n">
        <v>3</v>
      </c>
      <c r="R4" s="73" t="n"/>
      <c r="S4" s="74" t="n"/>
      <c r="T4" s="74" t="n"/>
      <c r="U4" s="74" t="n">
        <v>3</v>
      </c>
      <c r="V4" s="74" t="n">
        <v>3</v>
      </c>
      <c r="W4" s="122">
        <f>IFERROR(AVERAGE(Q4:V4),"")</f>
        <v/>
      </c>
      <c r="X4" s="76">
        <f>IFERROR($F4*$W4,"")</f>
        <v/>
      </c>
      <c r="Y4" s="77" t="n"/>
      <c r="Z4" s="77" t="n"/>
      <c r="AA4" s="72" t="n"/>
      <c r="AB4" s="73" t="n"/>
      <c r="AC4" s="74" t="n"/>
      <c r="AD4" s="74" t="n"/>
      <c r="AE4" s="74" t="n"/>
      <c r="AF4" s="74" t="n"/>
      <c r="AG4" s="122">
        <f>IFERROR(AVERAGE(AA4:AF4),"")</f>
        <v/>
      </c>
      <c r="AH4" s="76">
        <f>IFERROR($F4*AG4,"")</f>
        <v/>
      </c>
      <c r="AI4" s="77" t="n"/>
      <c r="AJ4" s="77" t="n"/>
    </row>
    <row r="5">
      <c r="B5" s="78" t="inlineStr">
        <is>
          <t>T. 02</t>
        </is>
      </c>
      <c r="C5" s="52" t="inlineStr">
        <is>
          <t>Windows 2016 backup / restore</t>
        </is>
      </c>
      <c r="D5" s="52" t="inlineStr">
        <is>
          <t>Backup and restore success</t>
        </is>
      </c>
      <c r="E5" s="3" t="inlineStr">
        <is>
          <t>Functional</t>
        </is>
      </c>
      <c r="F5" s="2" t="n">
        <v>1</v>
      </c>
      <c r="G5" s="78" t="n">
        <v>3</v>
      </c>
      <c r="H5" s="79" t="n"/>
      <c r="I5" s="74" t="n"/>
      <c r="J5" s="74" t="n"/>
      <c r="K5" s="74" t="n">
        <v>3</v>
      </c>
      <c r="L5" s="74" t="n">
        <v>3</v>
      </c>
      <c r="M5" s="122">
        <f>IFERROR(AVERAGE($G5,$H5,$I5,$J5,$K5,$L5),"")</f>
        <v/>
      </c>
      <c r="N5" s="76">
        <f>IFERROR($F5*$M5,"")</f>
        <v/>
      </c>
      <c r="O5" s="77" t="inlineStr">
        <is>
          <t>AW:Tested in POC with success</t>
        </is>
      </c>
      <c r="P5" s="77" t="n"/>
      <c r="Q5" s="78" t="n">
        <v>3</v>
      </c>
      <c r="R5" s="79" t="n"/>
      <c r="S5" s="74" t="n"/>
      <c r="T5" s="74" t="n"/>
      <c r="U5" s="74" t="n">
        <v>3</v>
      </c>
      <c r="V5" s="74" t="n">
        <v>3</v>
      </c>
      <c r="W5" s="122">
        <f>IFERROR(AVERAGE(Q5:V5),"")</f>
        <v/>
      </c>
      <c r="X5" s="76">
        <f>IFERROR($F5*$W5,"")</f>
        <v/>
      </c>
      <c r="Y5" s="77" t="n"/>
      <c r="Z5" s="77" t="n"/>
      <c r="AA5" s="78" t="n"/>
      <c r="AB5" s="79" t="n"/>
      <c r="AC5" s="74" t="n"/>
      <c r="AD5" s="74" t="n"/>
      <c r="AE5" s="74" t="n"/>
      <c r="AF5" s="74" t="n"/>
      <c r="AG5" s="122">
        <f>IFERROR(AVERAGE(AA5:AF5),"")</f>
        <v/>
      </c>
      <c r="AH5" s="76">
        <f>IFERROR($F5*AG5,"")</f>
        <v/>
      </c>
      <c r="AI5" s="77" t="n"/>
      <c r="AJ5" s="77" t="n"/>
    </row>
    <row r="6">
      <c r="B6" s="78" t="inlineStr">
        <is>
          <t>T. 03</t>
        </is>
      </c>
      <c r="C6" s="52" t="inlineStr">
        <is>
          <t xml:space="preserve">Windows 2019 backup / restore </t>
        </is>
      </c>
      <c r="D6" s="52" t="inlineStr">
        <is>
          <t>Backup and restore success</t>
        </is>
      </c>
      <c r="E6" s="3" t="inlineStr">
        <is>
          <t>Functional</t>
        </is>
      </c>
      <c r="F6" s="2" t="n">
        <v>1</v>
      </c>
      <c r="G6" s="78" t="n">
        <v>3</v>
      </c>
      <c r="H6" s="79" t="n"/>
      <c r="I6" s="74" t="n"/>
      <c r="J6" s="74" t="n"/>
      <c r="K6" s="74" t="n">
        <v>3</v>
      </c>
      <c r="L6" s="74" t="n">
        <v>3</v>
      </c>
      <c r="M6" s="122">
        <f>IFERROR(AVERAGE($G6,$H6,$I6,$J6,$K6,$L6),"")</f>
        <v/>
      </c>
      <c r="N6" s="76">
        <f>IFERROR($F6*$M6,"")</f>
        <v/>
      </c>
      <c r="O6" s="77" t="inlineStr">
        <is>
          <t>AW:Tested in POC with success</t>
        </is>
      </c>
      <c r="P6" s="77" t="n"/>
      <c r="Q6" s="78" t="n">
        <v>3</v>
      </c>
      <c r="R6" s="79" t="n"/>
      <c r="S6" s="74" t="n"/>
      <c r="T6" s="74" t="n"/>
      <c r="U6" s="74" t="n">
        <v>3</v>
      </c>
      <c r="V6" s="74" t="n">
        <v>3</v>
      </c>
      <c r="W6" s="122">
        <f>IFERROR(AVERAGE(Q6:V6),"")</f>
        <v/>
      </c>
      <c r="X6" s="76">
        <f>IFERROR($F6*$W6,"")</f>
        <v/>
      </c>
      <c r="Y6" s="77" t="n"/>
      <c r="Z6" s="77" t="n"/>
      <c r="AA6" s="78" t="n"/>
      <c r="AB6" s="79" t="n"/>
      <c r="AC6" s="74" t="n"/>
      <c r="AD6" s="74" t="n"/>
      <c r="AE6" s="74" t="n"/>
      <c r="AF6" s="74" t="n"/>
      <c r="AG6" s="122">
        <f>IFERROR(AVERAGE(AA6:AF6),"")</f>
        <v/>
      </c>
      <c r="AH6" s="76">
        <f>IFERROR($F6*AG6,"")</f>
        <v/>
      </c>
      <c r="AI6" s="77" t="n"/>
      <c r="AJ6" s="77" t="n"/>
    </row>
    <row r="7">
      <c r="B7" s="78" t="inlineStr">
        <is>
          <t>T. 04</t>
        </is>
      </c>
      <c r="C7" s="52" t="inlineStr">
        <is>
          <t>RHEL 7.8 backup / restore</t>
        </is>
      </c>
      <c r="D7" s="52" t="inlineStr">
        <is>
          <t>Backup and restore success</t>
        </is>
      </c>
      <c r="E7" s="3" t="inlineStr">
        <is>
          <t>Functional</t>
        </is>
      </c>
      <c r="F7" s="2" t="n">
        <v>1</v>
      </c>
      <c r="G7" s="78" t="n">
        <v>3</v>
      </c>
      <c r="H7" s="79" t="n"/>
      <c r="I7" s="74" t="n"/>
      <c r="J7" s="74" t="n"/>
      <c r="K7" s="74" t="n">
        <v>3</v>
      </c>
      <c r="L7" s="74" t="n">
        <v>3</v>
      </c>
      <c r="M7" s="122">
        <f>IFERROR(AVERAGE($G7,$H7,$I7,$J7,$K7,$L7),"")</f>
        <v/>
      </c>
      <c r="N7" s="76">
        <f>IFERROR($F7*$M7,"")</f>
        <v/>
      </c>
      <c r="O7" s="77" t="inlineStr">
        <is>
          <t>AW:Tested in POC with success</t>
        </is>
      </c>
      <c r="P7" s="77" t="n"/>
      <c r="Q7" s="78" t="n">
        <v>3</v>
      </c>
      <c r="R7" s="79" t="n"/>
      <c r="S7" s="74" t="n"/>
      <c r="T7" s="74" t="n"/>
      <c r="U7" s="74" t="n">
        <v>3</v>
      </c>
      <c r="V7" s="74" t="n">
        <v>3</v>
      </c>
      <c r="W7" s="122">
        <f>IFERROR(AVERAGE(Q7:V7),"")</f>
        <v/>
      </c>
      <c r="X7" s="76">
        <f>IFERROR($F7*$W7,"")</f>
        <v/>
      </c>
      <c r="Y7" s="77" t="n"/>
      <c r="Z7" s="77" t="n"/>
      <c r="AA7" s="78" t="n"/>
      <c r="AB7" s="79" t="n"/>
      <c r="AC7" s="74" t="n"/>
      <c r="AD7" s="74" t="n"/>
      <c r="AE7" s="74" t="n"/>
      <c r="AF7" s="74" t="n"/>
      <c r="AG7" s="122">
        <f>IFERROR(AVERAGE(AA7:AF7),"")</f>
        <v/>
      </c>
      <c r="AH7" s="76">
        <f>IFERROR($F7*AG7,"")</f>
        <v/>
      </c>
      <c r="AI7" s="77" t="n"/>
      <c r="AJ7" s="77" t="n"/>
    </row>
    <row r="8">
      <c r="B8" s="78" t="inlineStr">
        <is>
          <t>T. 05</t>
        </is>
      </c>
      <c r="C8" s="52" t="inlineStr">
        <is>
          <t>RHEL 8.2 backup / restore</t>
        </is>
      </c>
      <c r="D8" s="52" t="inlineStr">
        <is>
          <t>Backup and restore success</t>
        </is>
      </c>
      <c r="E8" s="3" t="inlineStr">
        <is>
          <t>Functional</t>
        </is>
      </c>
      <c r="F8" s="2" t="n">
        <v>1</v>
      </c>
      <c r="G8" s="78" t="n">
        <v>3</v>
      </c>
      <c r="H8" s="79" t="n"/>
      <c r="I8" s="74" t="n"/>
      <c r="J8" s="74" t="n"/>
      <c r="K8" s="74" t="n">
        <v>3</v>
      </c>
      <c r="L8" s="74" t="n">
        <v>3</v>
      </c>
      <c r="M8" s="122">
        <f>IFERROR(AVERAGE($G8,$H8,$I8,$J8,$K8,$L8),"")</f>
        <v/>
      </c>
      <c r="N8" s="76">
        <f>IFERROR($F8*$M8,"")</f>
        <v/>
      </c>
      <c r="O8" s="77" t="inlineStr">
        <is>
          <t>AW:Tested in POC with success</t>
        </is>
      </c>
      <c r="P8" s="77" t="n"/>
      <c r="Q8" s="78" t="n">
        <v>3</v>
      </c>
      <c r="R8" s="79" t="n"/>
      <c r="S8" s="74" t="n"/>
      <c r="T8" s="74" t="n"/>
      <c r="U8" s="74" t="n">
        <v>3</v>
      </c>
      <c r="V8" s="74" t="n">
        <v>3</v>
      </c>
      <c r="W8" s="122">
        <f>IFERROR(AVERAGE(Q8:V8),"")</f>
        <v/>
      </c>
      <c r="X8" s="76">
        <f>IFERROR($F8*$W8,"")</f>
        <v/>
      </c>
      <c r="Y8" s="77" t="n"/>
      <c r="Z8" s="77" t="n"/>
      <c r="AA8" s="78" t="n"/>
      <c r="AB8" s="79" t="n"/>
      <c r="AC8" s="74" t="n"/>
      <c r="AD8" s="74" t="n"/>
      <c r="AE8" s="74" t="n"/>
      <c r="AF8" s="74" t="n"/>
      <c r="AG8" s="122">
        <f>IFERROR(AVERAGE(AA8:AF8),"")</f>
        <v/>
      </c>
      <c r="AH8" s="76">
        <f>IFERROR($F8*AG8,"")</f>
        <v/>
      </c>
      <c r="AI8" s="77" t="n"/>
      <c r="AJ8" s="77" t="n"/>
    </row>
    <row r="9">
      <c r="B9" s="78" t="inlineStr">
        <is>
          <t>T. 06</t>
        </is>
      </c>
      <c r="C9" s="52" t="inlineStr">
        <is>
          <t>SLES 12 backup / restore</t>
        </is>
      </c>
      <c r="D9" s="52" t="inlineStr">
        <is>
          <t>Backup and restore success</t>
        </is>
      </c>
      <c r="E9" s="3" t="inlineStr">
        <is>
          <t>Functional</t>
        </is>
      </c>
      <c r="F9" s="2" t="n">
        <v>1</v>
      </c>
      <c r="G9" s="78" t="n">
        <v>3</v>
      </c>
      <c r="H9" s="79" t="n"/>
      <c r="I9" s="74" t="n"/>
      <c r="J9" s="74" t="n"/>
      <c r="K9" s="74" t="n">
        <v>3</v>
      </c>
      <c r="L9" s="74" t="n">
        <v>3</v>
      </c>
      <c r="M9" s="122">
        <f>IFERROR(AVERAGE($G9,$H9,$I9,$J9,$K9,$L9),"")</f>
        <v/>
      </c>
      <c r="N9" s="76">
        <f>IFERROR($F9*$M9,"")</f>
        <v/>
      </c>
      <c r="O9" s="77" t="inlineStr">
        <is>
          <t>AW:Tested in POC with success</t>
        </is>
      </c>
      <c r="P9" s="77" t="n"/>
      <c r="Q9" s="78" t="n">
        <v>3</v>
      </c>
      <c r="R9" s="79" t="n"/>
      <c r="S9" s="74" t="n"/>
      <c r="T9" s="74" t="n"/>
      <c r="U9" s="74" t="n">
        <v>3</v>
      </c>
      <c r="V9" s="74" t="n">
        <v>3</v>
      </c>
      <c r="W9" s="122">
        <f>IFERROR(AVERAGE(Q9:V9),"")</f>
        <v/>
      </c>
      <c r="X9" s="76">
        <f>IFERROR($F9*$W9,"")</f>
        <v/>
      </c>
      <c r="Y9" s="77" t="n"/>
      <c r="Z9" s="77" t="n"/>
      <c r="AA9" s="78" t="n"/>
      <c r="AB9" s="79" t="n"/>
      <c r="AC9" s="74" t="n"/>
      <c r="AD9" s="74" t="n"/>
      <c r="AE9" s="74" t="n"/>
      <c r="AF9" s="74" t="n"/>
      <c r="AG9" s="122">
        <f>IFERROR(AVERAGE(AA9:AF9),"")</f>
        <v/>
      </c>
      <c r="AH9" s="76">
        <f>IFERROR($F9*AG9,"")</f>
        <v/>
      </c>
      <c r="AI9" s="77" t="n"/>
      <c r="AJ9" s="77" t="n"/>
    </row>
    <row r="10">
      <c r="B10" s="78" t="inlineStr">
        <is>
          <t>T. 07</t>
        </is>
      </c>
      <c r="C10" s="52" t="inlineStr">
        <is>
          <t xml:space="preserve">Selectively restore files </t>
        </is>
      </c>
      <c r="D10" s="52" t="inlineStr">
        <is>
          <t>Backup and restore success</t>
        </is>
      </c>
      <c r="E10" s="3" t="inlineStr">
        <is>
          <t>Functional</t>
        </is>
      </c>
      <c r="F10" s="2" t="n">
        <v>1</v>
      </c>
      <c r="G10" s="78" t="n">
        <v>3</v>
      </c>
      <c r="H10" s="79" t="n"/>
      <c r="I10" s="74" t="n"/>
      <c r="J10" s="74" t="n"/>
      <c r="K10" s="74" t="n">
        <v>3</v>
      </c>
      <c r="L10" s="74" t="n">
        <v>3</v>
      </c>
      <c r="M10" s="122">
        <f>IFERROR(AVERAGE($G10,$H10,$I10,$J10,$K10,$L10),"")</f>
        <v/>
      </c>
      <c r="N10" s="76">
        <f>IFERROR($F10*$M10,"")</f>
        <v/>
      </c>
      <c r="O10" s="77" t="inlineStr">
        <is>
          <t>AW:Tested in POC with success</t>
        </is>
      </c>
      <c r="P10" s="77" t="n"/>
      <c r="Q10" s="78" t="n">
        <v>3</v>
      </c>
      <c r="R10" s="79" t="n"/>
      <c r="S10" s="74" t="n"/>
      <c r="T10" s="74" t="n"/>
      <c r="U10" s="74" t="n">
        <v>3</v>
      </c>
      <c r="V10" s="74" t="n">
        <v>3</v>
      </c>
      <c r="W10" s="122">
        <f>IFERROR(AVERAGE(Q10:V10),"")</f>
        <v/>
      </c>
      <c r="X10" s="76">
        <f>IFERROR($F10*$W10,"")</f>
        <v/>
      </c>
      <c r="Y10" s="77" t="n"/>
      <c r="Z10" s="77" t="n"/>
      <c r="AA10" s="78" t="n"/>
      <c r="AB10" s="79" t="n"/>
      <c r="AC10" s="74" t="n"/>
      <c r="AD10" s="74" t="n"/>
      <c r="AE10" s="74" t="n"/>
      <c r="AF10" s="74" t="n"/>
      <c r="AG10" s="122">
        <f>IFERROR(AVERAGE(AA10:AF10),"")</f>
        <v/>
      </c>
      <c r="AH10" s="76">
        <f>IFERROR($F10*AG10,"")</f>
        <v/>
      </c>
      <c r="AI10" s="77" t="n"/>
      <c r="AJ10" s="77" t="n"/>
    </row>
    <row r="11" ht="38.25" customHeight="1">
      <c r="B11" s="78" t="inlineStr">
        <is>
          <t>T. 08</t>
        </is>
      </c>
      <c r="C11" s="52" t="inlineStr">
        <is>
          <t xml:space="preserve">DR / Cluster failover / restore </t>
        </is>
      </c>
      <c r="D11" s="52" t="inlineStr">
        <is>
          <t>Still able to backup / restore during DR / failover etc
Moved to T47-T48 to reflect the corresponding weighting in the POC</t>
        </is>
      </c>
      <c r="E11" s="3" t="inlineStr">
        <is>
          <t>Functional</t>
        </is>
      </c>
      <c r="F11" s="2" t="n">
        <v>3</v>
      </c>
      <c r="G11" s="78" t="n"/>
      <c r="H11" s="79" t="n"/>
      <c r="I11" s="74" t="n"/>
      <c r="J11" s="74" t="n"/>
      <c r="K11" s="74" t="n"/>
      <c r="L11" s="74" t="n"/>
      <c r="M11" s="122">
        <f>IFERROR(AVERAGE($G11,$H11,$I11,$J11,$K11,$L11),"")</f>
        <v/>
      </c>
      <c r="N11" s="76">
        <f>IFERROR($F11*$M11,"")</f>
        <v/>
      </c>
      <c r="O11" s="77" t="n"/>
      <c r="P11" s="77" t="inlineStr">
        <is>
          <t>Please perform the corresponding scoring in T47-T48</t>
        </is>
      </c>
      <c r="Q11" s="78" t="n"/>
      <c r="R11" s="79" t="n"/>
      <c r="S11" s="74" t="n"/>
      <c r="T11" s="74" t="n"/>
      <c r="U11" s="74" t="n"/>
      <c r="V11" s="74" t="n"/>
      <c r="W11" s="122">
        <f>IFERROR(AVERAGE(Q11:V11),"")</f>
        <v/>
      </c>
      <c r="X11" s="76">
        <f>IFERROR($F11*$W11,"")</f>
        <v/>
      </c>
      <c r="Y11" s="77" t="n"/>
      <c r="Z11" s="77" t="n"/>
      <c r="AA11" s="78" t="n"/>
      <c r="AB11" s="79" t="n"/>
      <c r="AC11" s="74" t="n"/>
      <c r="AD11" s="74" t="n"/>
      <c r="AE11" s="74" t="n"/>
      <c r="AF11" s="74" t="n"/>
      <c r="AG11" s="122">
        <f>IFERROR(AVERAGE(AA11:AF11),"")</f>
        <v/>
      </c>
      <c r="AH11" s="76">
        <f>IFERROR($F11*AG11,"")</f>
        <v/>
      </c>
      <c r="AI11" s="77" t="n"/>
      <c r="AJ11" s="77" t="n"/>
    </row>
    <row r="12" ht="38.25" customHeight="1">
      <c r="B12" s="78" t="inlineStr">
        <is>
          <t>T. 09</t>
        </is>
      </c>
      <c r="C12" s="52" t="inlineStr">
        <is>
          <t>Active-Active backup between two regions</t>
        </is>
      </c>
      <c r="D12" s="52" t="inlineStr">
        <is>
          <t>Two copies of data were store in two Azure region
Moved to T45-T46 to reflect the corresponding weighting in the POC</t>
        </is>
      </c>
      <c r="E12" s="3" t="inlineStr">
        <is>
          <t>Functional</t>
        </is>
      </c>
      <c r="F12" s="2" t="n">
        <v>3</v>
      </c>
      <c r="G12" s="78" t="n"/>
      <c r="H12" s="79" t="n"/>
      <c r="I12" s="74" t="n"/>
      <c r="J12" s="74" t="n"/>
      <c r="K12" s="74" t="n"/>
      <c r="L12" s="74" t="n"/>
      <c r="M12" s="122">
        <f>IFERROR(AVERAGE($G12,$H12,$I12,$J12,$K12,$L12),"")</f>
        <v/>
      </c>
      <c r="N12" s="76">
        <f>IFERROR($F12*$M12,"")</f>
        <v/>
      </c>
      <c r="O12" s="77" t="n"/>
      <c r="P12" s="77" t="inlineStr">
        <is>
          <t>Please perform the corresponding scoring in T45-T46</t>
        </is>
      </c>
      <c r="Q12" s="78" t="n"/>
      <c r="R12" s="79" t="n"/>
      <c r="S12" s="74" t="n"/>
      <c r="T12" s="74" t="n"/>
      <c r="U12" s="74" t="n"/>
      <c r="V12" s="74" t="n"/>
      <c r="W12" s="122">
        <f>IFERROR(AVERAGE(Q12:V12),"")</f>
        <v/>
      </c>
      <c r="X12" s="76">
        <f>IFERROR($F12*$W12,"")</f>
        <v/>
      </c>
      <c r="Y12" s="77" t="n"/>
      <c r="Z12" s="77" t="n"/>
      <c r="AA12" s="78" t="n"/>
      <c r="AB12" s="79" t="n"/>
      <c r="AC12" s="74" t="n"/>
      <c r="AD12" s="74" t="n"/>
      <c r="AE12" s="74" t="n"/>
      <c r="AF12" s="74" t="n"/>
      <c r="AG12" s="122">
        <f>IFERROR(AVERAGE(AA12:AF12),"")</f>
        <v/>
      </c>
      <c r="AH12" s="76">
        <f>IFERROR($F12*AG12,"")</f>
        <v/>
      </c>
      <c r="AI12" s="77" t="n"/>
      <c r="AJ12" s="77" t="n"/>
    </row>
    <row r="13" ht="51" customHeight="1">
      <c r="B13" s="78" t="inlineStr">
        <is>
          <t>T. 10</t>
        </is>
      </c>
      <c r="C13" s="52" t="inlineStr">
        <is>
          <t>RBAC control to separate the duties of HK / SG to manage their own VMs / reports etc.</t>
        </is>
      </c>
      <c r="D13" s="52" t="inlineStr">
        <is>
          <t>each BU can only access to their own VM added capability of assign different level of premission to differnet accounts
request backend premission on the need basis</t>
        </is>
      </c>
      <c r="E13" s="3" t="inlineStr">
        <is>
          <t>Functional</t>
        </is>
      </c>
      <c r="F13" s="2" t="n">
        <v>3</v>
      </c>
      <c r="G13" s="78" t="n">
        <v>3</v>
      </c>
      <c r="H13" s="79" t="n"/>
      <c r="I13" s="74" t="n"/>
      <c r="J13" s="74" t="n"/>
      <c r="K13" s="74" t="n">
        <v>3</v>
      </c>
      <c r="L13" s="74" t="n">
        <v>3</v>
      </c>
      <c r="M13" s="122">
        <f>IFERROR(AVERAGE($G13,$H13,$I13,$J13,$K13,$L13),"")</f>
        <v/>
      </c>
      <c r="N13" s="76">
        <f>IFERROR($F13*$M13,"")</f>
        <v/>
      </c>
      <c r="O13" s="77" t="inlineStr">
        <is>
          <t>AW:Tested in POC with success</t>
        </is>
      </c>
      <c r="P13" s="80" t="inlineStr">
        <is>
          <t>AW : Commvault is able to have differnet premission : Admin , Oper , Readonly in the management panel  while the backend accounts can request minimum premission and working in our AIA envirnoment</t>
        </is>
      </c>
      <c r="Q13" s="78" t="n">
        <v>2</v>
      </c>
      <c r="R13" s="79" t="n"/>
      <c r="S13" s="74" t="n"/>
      <c r="T13" s="74" t="n"/>
      <c r="U13" s="74" t="n">
        <v>2</v>
      </c>
      <c r="V13" s="74" t="n">
        <v>2</v>
      </c>
      <c r="W13" s="122">
        <f>IFERROR(AVERAGE(Q13:V13),"")</f>
        <v/>
      </c>
      <c r="X13" s="76">
        <f>IFERROR($F13*$W13,"")</f>
        <v/>
      </c>
      <c r="Y13" s="77" t="inlineStr">
        <is>
          <t>AW:Veeam can provide differnent access - Admin or Read only on the interfiace , the backend AAD app acount requires contributor and Global administrator to work</t>
        </is>
      </c>
      <c r="Z13" s="80" t="n"/>
      <c r="AA13" s="78" t="n"/>
      <c r="AB13" s="79" t="n"/>
      <c r="AC13" s="74" t="n"/>
      <c r="AD13" s="74" t="n"/>
      <c r="AE13" s="74" t="n"/>
      <c r="AF13" s="74" t="n"/>
      <c r="AG13" s="122">
        <f>IFERROR(AVERAGE(AA13:AF13),"")</f>
        <v/>
      </c>
      <c r="AH13" s="76">
        <f>IFERROR($F13*AG13,"")</f>
        <v/>
      </c>
      <c r="AI13" s="77" t="n"/>
      <c r="AJ13" s="80" t="n"/>
    </row>
    <row r="14">
      <c r="B14" s="78" t="inlineStr">
        <is>
          <t>T. 11</t>
        </is>
      </c>
      <c r="C14" s="52" t="inlineStr">
        <is>
          <t>MS SQL server 2016/2019</t>
        </is>
      </c>
      <c r="D14" s="52" t="inlineStr">
        <is>
          <t>Backup and restore DB , partial data restored</t>
        </is>
      </c>
      <c r="E14" s="3" t="inlineStr">
        <is>
          <t>Functional</t>
        </is>
      </c>
      <c r="F14" s="2" t="n">
        <v>2</v>
      </c>
      <c r="G14" s="78" t="n">
        <v>3</v>
      </c>
      <c r="H14" s="79" t="n"/>
      <c r="I14" s="74" t="n"/>
      <c r="J14" s="74" t="n"/>
      <c r="K14" s="74" t="n">
        <v>3</v>
      </c>
      <c r="L14" s="74" t="n">
        <v>3</v>
      </c>
      <c r="M14" s="122">
        <f>IFERROR(AVERAGE($G14,$H14,$I14,$J14,$K14,$L14),"")</f>
        <v/>
      </c>
      <c r="N14" s="76">
        <f>IFERROR($F14*$M14,"")</f>
        <v/>
      </c>
      <c r="O14" s="77" t="inlineStr">
        <is>
          <t>AW:Tested in POC with success</t>
        </is>
      </c>
      <c r="P14" s="77" t="n"/>
      <c r="Q14" s="78" t="n">
        <v>3</v>
      </c>
      <c r="R14" s="79" t="n"/>
      <c r="S14" s="74" t="n"/>
      <c r="T14" s="74" t="n"/>
      <c r="U14" s="74" t="n">
        <v>3</v>
      </c>
      <c r="V14" s="74" t="n">
        <v>3</v>
      </c>
      <c r="W14" s="122">
        <f>IFERROR(AVERAGE(Q14:V14),"")</f>
        <v/>
      </c>
      <c r="X14" s="76">
        <f>IFERROR($F14*$W14,"")</f>
        <v/>
      </c>
      <c r="Y14" s="77" t="n"/>
      <c r="Z14" s="77" t="n"/>
      <c r="AA14" s="78" t="n"/>
      <c r="AB14" s="79" t="n"/>
      <c r="AC14" s="74" t="n"/>
      <c r="AD14" s="74" t="n"/>
      <c r="AE14" s="74" t="n"/>
      <c r="AF14" s="74" t="n"/>
      <c r="AG14" s="122">
        <f>IFERROR(AVERAGE(AA14:AF14),"")</f>
        <v/>
      </c>
      <c r="AH14" s="76">
        <f>IFERROR($F14*AG14,"")</f>
        <v/>
      </c>
      <c r="AI14" s="77" t="n"/>
      <c r="AJ14" s="77" t="n"/>
    </row>
    <row r="15" hidden="1">
      <c r="B15" s="78" t="inlineStr">
        <is>
          <t>T. 12</t>
        </is>
      </c>
      <c r="C15" s="36" t="inlineStr">
        <is>
          <t xml:space="preserve">MS SQL Managed instance </t>
        </is>
      </c>
      <c r="D15" s="36" t="inlineStr">
        <is>
          <t>Backup and restore DB , partial data restored</t>
        </is>
      </c>
      <c r="E15" s="37" t="inlineStr">
        <is>
          <t>Functional</t>
        </is>
      </c>
      <c r="F15" s="2" t="n">
        <v>2</v>
      </c>
      <c r="G15" s="78" t="n"/>
      <c r="H15" s="79" t="n"/>
      <c r="I15" s="74" t="n"/>
      <c r="J15" s="74" t="n"/>
      <c r="K15" s="74" t="n"/>
      <c r="L15" s="74" t="n"/>
      <c r="M15" s="122">
        <f>IFERROR(AVERAGE($G15,$H15,$I15,$J15,$K15,$L15),"")</f>
        <v/>
      </c>
      <c r="N15" s="76">
        <f>IFERROR($F15*$M15,"")</f>
        <v/>
      </c>
      <c r="O15" s="77" t="n"/>
      <c r="P15" s="77" t="n"/>
      <c r="Q15" s="78" t="n"/>
      <c r="R15" s="79" t="n"/>
      <c r="S15" s="74" t="n"/>
      <c r="T15" s="74" t="n"/>
      <c r="U15" s="74" t="n"/>
      <c r="V15" s="74" t="n"/>
      <c r="W15" s="122">
        <f>IFERROR(AVERAGE(Q15:V15),"")</f>
        <v/>
      </c>
      <c r="X15" s="76">
        <f>IFERROR($F15*$W15,"")</f>
        <v/>
      </c>
      <c r="Y15" s="77" t="n"/>
      <c r="Z15" s="77" t="n"/>
      <c r="AA15" s="78" t="n"/>
      <c r="AB15" s="79" t="n"/>
      <c r="AC15" s="74" t="n"/>
      <c r="AD15" s="74" t="n"/>
      <c r="AE15" s="74" t="n"/>
      <c r="AF15" s="74" t="n"/>
      <c r="AG15" s="122">
        <f>IFERROR(AVERAGE(AA15:AF15),"")</f>
        <v/>
      </c>
      <c r="AH15" s="76">
        <f>IFERROR($F15*AG15,"")</f>
        <v/>
      </c>
      <c r="AI15" s="77" t="n"/>
      <c r="AJ15" s="77" t="n"/>
    </row>
    <row r="16" hidden="1">
      <c r="B16" s="78" t="inlineStr">
        <is>
          <t>T. 13</t>
        </is>
      </c>
      <c r="C16" s="36" t="inlineStr">
        <is>
          <t>Oracle</t>
        </is>
      </c>
      <c r="D16" s="36" t="inlineStr">
        <is>
          <t>Backup and restore DB , partial data restored</t>
        </is>
      </c>
      <c r="E16" s="37" t="inlineStr">
        <is>
          <t>Functional</t>
        </is>
      </c>
      <c r="F16" s="2" t="n">
        <v>2</v>
      </c>
      <c r="G16" s="78" t="n"/>
      <c r="H16" s="79" t="n"/>
      <c r="I16" s="74" t="n"/>
      <c r="J16" s="74" t="n"/>
      <c r="K16" s="74" t="n"/>
      <c r="L16" s="74" t="n"/>
      <c r="M16" s="122">
        <f>IFERROR(AVERAGE($G16,$H16,$I16,$J16,$K16,$L16),"")</f>
        <v/>
      </c>
      <c r="N16" s="76">
        <f>IFERROR($F16*$M16,"")</f>
        <v/>
      </c>
      <c r="O16" s="77" t="n"/>
      <c r="P16" s="77" t="n"/>
      <c r="Q16" s="78" t="n"/>
      <c r="R16" s="79" t="n"/>
      <c r="S16" s="74" t="n"/>
      <c r="T16" s="74" t="n"/>
      <c r="U16" s="74" t="n"/>
      <c r="V16" s="74" t="n"/>
      <c r="W16" s="122">
        <f>IFERROR(AVERAGE(Q16:V16),"")</f>
        <v/>
      </c>
      <c r="X16" s="76">
        <f>IFERROR($F16*$W16,"")</f>
        <v/>
      </c>
      <c r="Y16" s="77" t="n"/>
      <c r="Z16" s="77" t="n"/>
      <c r="AA16" s="78" t="n"/>
      <c r="AB16" s="79" t="n"/>
      <c r="AC16" s="74" t="n"/>
      <c r="AD16" s="74" t="n"/>
      <c r="AE16" s="74" t="n"/>
      <c r="AF16" s="74" t="n"/>
      <c r="AG16" s="122">
        <f>IFERROR(AVERAGE(AA16:AF16),"")</f>
        <v/>
      </c>
      <c r="AH16" s="76">
        <f>IFERROR($F16*AG16,"")</f>
        <v/>
      </c>
      <c r="AI16" s="77" t="n"/>
      <c r="AJ16" s="77" t="n"/>
    </row>
    <row r="17" ht="25.5" customHeight="1">
      <c r="B17" s="78" t="inlineStr">
        <is>
          <t>T. 14</t>
        </is>
      </c>
      <c r="C17" s="52" t="inlineStr">
        <is>
          <t>Data Deduplication</t>
        </is>
      </c>
      <c r="D17" s="52" t="inlineStr">
        <is>
          <t>Actual storage consumption reduced</t>
        </is>
      </c>
      <c r="E17" s="3" t="inlineStr">
        <is>
          <t>Non-Functional</t>
        </is>
      </c>
      <c r="F17" s="2" t="n">
        <v>3</v>
      </c>
      <c r="G17" s="78" t="n">
        <v>3</v>
      </c>
      <c r="H17" s="79" t="n"/>
      <c r="I17" s="74" t="n"/>
      <c r="J17" s="74" t="n"/>
      <c r="K17" s="74" t="n">
        <v>3</v>
      </c>
      <c r="L17" s="74" t="n">
        <v>3</v>
      </c>
      <c r="M17" s="122">
        <f>IFERROR(AVERAGE($G17,$H17,$I17,$J17,$K17,$L17),"")</f>
        <v/>
      </c>
      <c r="N17" s="76">
        <f>IFERROR($F17*$M17,"")</f>
        <v/>
      </c>
      <c r="O17" s="77" t="inlineStr">
        <is>
          <t xml:space="preserve">AW:92.6% is able to meet AIA requriement of 85% </t>
        </is>
      </c>
      <c r="P17" s="80" t="inlineStr">
        <is>
          <t xml:space="preserve">AW:give them a "3" first </t>
        </is>
      </c>
      <c r="Q17" s="78" t="n">
        <v>2</v>
      </c>
      <c r="R17" s="79" t="n"/>
      <c r="S17" s="74" t="n"/>
      <c r="T17" s="74" t="n"/>
      <c r="U17" s="74" t="n">
        <v>2</v>
      </c>
      <c r="V17" s="74" t="n">
        <v>2</v>
      </c>
      <c r="W17" s="122">
        <f>IFERROR(AVERAGE(Q17:V17),"")</f>
        <v/>
      </c>
      <c r="X17" s="76">
        <f>IFERROR($F17*$W17,"")</f>
        <v/>
      </c>
      <c r="Y17" s="77" t="inlineStr">
        <is>
          <t>AW: The deduplication result is not available on system but use excel for manual calculation on POC only</t>
        </is>
      </c>
      <c r="Z17" s="80" t="n"/>
      <c r="AA17" s="78" t="n"/>
      <c r="AB17" s="79" t="n"/>
      <c r="AC17" s="74" t="n"/>
      <c r="AD17" s="74" t="n"/>
      <c r="AE17" s="74" t="n"/>
      <c r="AF17" s="74" t="n"/>
      <c r="AG17" s="122">
        <f>IFERROR(AVERAGE(AA17:AF17),"")</f>
        <v/>
      </c>
      <c r="AH17" s="76">
        <f>IFERROR($F17*AG17,"")</f>
        <v/>
      </c>
      <c r="AI17" s="77" t="n"/>
      <c r="AJ17" s="80" t="n"/>
    </row>
    <row r="18" hidden="1" ht="25.5" customHeight="1">
      <c r="B18" s="78" t="inlineStr">
        <is>
          <t>T. 15</t>
        </is>
      </c>
      <c r="C18" s="36" t="inlineStr">
        <is>
          <t>Compression Ratio</t>
        </is>
      </c>
      <c r="D18" s="36" t="inlineStr">
        <is>
          <t xml:space="preserve">Data being compressed  - will compare based on report figure </t>
        </is>
      </c>
      <c r="E18" s="37" t="inlineStr">
        <is>
          <t>Non-Functional</t>
        </is>
      </c>
      <c r="F18" s="2" t="n">
        <v>3</v>
      </c>
      <c r="G18" s="78" t="n"/>
      <c r="H18" s="79" t="n"/>
      <c r="I18" s="74" t="n"/>
      <c r="J18" s="74" t="n"/>
      <c r="K18" s="74" t="n"/>
      <c r="L18" s="74" t="n"/>
      <c r="M18" s="122">
        <f>IFERROR(AVERAGE($G18,$H18,$I18,$J18,$K18,$L18),"")</f>
        <v/>
      </c>
      <c r="N18" s="76">
        <f>IFERROR($F18*$M18,"")</f>
        <v/>
      </c>
      <c r="O18" s="77" t="n"/>
      <c r="P18" s="77" t="n"/>
      <c r="Q18" s="78" t="n"/>
      <c r="R18" s="79" t="n"/>
      <c r="S18" s="74" t="n"/>
      <c r="T18" s="74" t="n"/>
      <c r="U18" s="74" t="n"/>
      <c r="V18" s="74" t="n"/>
      <c r="W18" s="122">
        <f>IFERROR(AVERAGE(Q18:V18),"")</f>
        <v/>
      </c>
      <c r="X18" s="76">
        <f>IFERROR($F18*$W18,"")</f>
        <v/>
      </c>
      <c r="Y18" s="77" t="n"/>
      <c r="Z18" s="77" t="n"/>
      <c r="AA18" s="78" t="n"/>
      <c r="AB18" s="79" t="n"/>
      <c r="AC18" s="74" t="n"/>
      <c r="AD18" s="74" t="n"/>
      <c r="AE18" s="74" t="n"/>
      <c r="AF18" s="74" t="n"/>
      <c r="AG18" s="122">
        <f>IFERROR(AVERAGE(AA18:AF18),"")</f>
        <v/>
      </c>
      <c r="AH18" s="76">
        <f>IFERROR($F18*AG18,"")</f>
        <v/>
      </c>
      <c r="AI18" s="77" t="n"/>
      <c r="AJ18" s="77" t="n"/>
    </row>
    <row r="19" ht="140.25" customHeight="1">
      <c r="B19" s="78" t="inlineStr">
        <is>
          <t>T. 16</t>
        </is>
      </c>
      <c r="C19" s="52" t="inlineStr">
        <is>
          <t>Infrastructure Complexity</t>
        </is>
      </c>
      <c r="D19" s="52" t="inlineStr">
        <is>
          <t>The complexity to setup and to manage , installation , setup complexity</t>
        </is>
      </c>
      <c r="E19" s="3" t="inlineStr">
        <is>
          <t>Non-Functional</t>
        </is>
      </c>
      <c r="F19" s="2" t="n">
        <v>3</v>
      </c>
      <c r="G19" s="78" t="n">
        <v>3</v>
      </c>
      <c r="H19" s="79" t="n"/>
      <c r="I19" s="74" t="n"/>
      <c r="J19" s="74" t="n"/>
      <c r="K19" s="74" t="n">
        <v>3</v>
      </c>
      <c r="L19" s="74" t="n">
        <v>3</v>
      </c>
      <c r="M19" s="122">
        <f>IFERROR(AVERAGE($G19,$H19,$I19,$J19,$K19,$L19),"")</f>
        <v/>
      </c>
      <c r="N19" s="76">
        <f>IFERROR($F19*$M19,"")</f>
        <v/>
      </c>
      <c r="O19" s="77" t="inlineStr">
        <is>
          <t xml:space="preserve">AW:As soon as the requirements are ready ( AAD account ) , the basic setup is pretty quick (within 45 mintues)
AW:Comvault is able to provide precise security requirement for account creation and it works when the account is ready
AW:The integration with OKTA is smooth
AW:Architecture of Commvault is simple and scalble as only need to deploy Media Agent (Backup proxy) on N+1 configuration
</t>
        </is>
      </c>
      <c r="P19" s="80" t="inlineStr">
        <is>
          <t xml:space="preserve">AW:give them a "3" because it is smooth to implment in AIA </t>
        </is>
      </c>
      <c r="Q19" s="78" t="n">
        <v>1</v>
      </c>
      <c r="R19" s="79" t="n">
        <v>3</v>
      </c>
      <c r="S19" s="74" t="n"/>
      <c r="T19" s="74" t="n"/>
      <c r="U19" s="74" t="n">
        <v>3</v>
      </c>
      <c r="V19" s="74" t="n">
        <v>2</v>
      </c>
      <c r="W19" s="122">
        <f>IFERROR(AVERAGE(Q19:V19),"")</f>
        <v/>
      </c>
      <c r="X19" s="76">
        <f>IFERROR($F19*$W19,"")</f>
        <v/>
      </c>
      <c r="Y19" s="81" t="inlineStr">
        <is>
          <t>AW:There are some components not able to setup as it requires Global Administrator to work</t>
        </is>
      </c>
      <c r="Z19" s="80" t="n"/>
      <c r="AA19" s="78" t="n"/>
      <c r="AB19" s="79" t="n"/>
      <c r="AC19" s="74" t="n"/>
      <c r="AD19" s="74" t="n"/>
      <c r="AE19" s="74" t="n"/>
      <c r="AF19" s="74" t="n"/>
      <c r="AG19" s="122">
        <f>IFERROR(AVERAGE(AA19:AF19),"")</f>
        <v/>
      </c>
      <c r="AH19" s="76">
        <f>IFERROR($F19*AG19,"")</f>
        <v/>
      </c>
      <c r="AI19" s="77" t="n"/>
      <c r="AJ19" s="80" t="n"/>
    </row>
    <row r="20" ht="165.75" customHeight="1">
      <c r="B20" s="78" t="inlineStr">
        <is>
          <t>T. 17</t>
        </is>
      </c>
      <c r="C20" s="52" t="inlineStr">
        <is>
          <t>Reporting functions &amp; features</t>
        </is>
      </c>
      <c r="D20" s="52" t="inlineStr">
        <is>
          <t>Backup report , policy report , storage report etc.</t>
        </is>
      </c>
      <c r="E20" s="3" t="inlineStr">
        <is>
          <t>Functional</t>
        </is>
      </c>
      <c r="F20" s="2" t="n">
        <v>3</v>
      </c>
      <c r="G20" s="78" t="n">
        <v>2</v>
      </c>
      <c r="H20" s="79" t="n"/>
      <c r="I20" s="74" t="n"/>
      <c r="J20" s="74" t="n"/>
      <c r="K20" s="74" t="n">
        <v>2</v>
      </c>
      <c r="L20" s="74" t="n">
        <v>1</v>
      </c>
      <c r="M20" s="122">
        <f>IFERROR(AVERAGE($G20,$H20,$I20,$J20,$K20,$L20),"")</f>
        <v/>
      </c>
      <c r="N20" s="76">
        <f>IFERROR($F20*$M20,"")</f>
        <v/>
      </c>
      <c r="O20" s="77" t="inlineStr">
        <is>
          <t>AW:Out of the box the product is able to provide backup report , policy report etc.
ZS: Commvault features are not as user friendly as it can't be viewed in a single Dashboard view</t>
        </is>
      </c>
      <c r="P20" s="77" t="inlineStr">
        <is>
          <t>AW:Give them a "2" at the moment until can compare with Veeam which will give "3" to the best vendor</t>
        </is>
      </c>
      <c r="Q20" s="78" t="n">
        <v>1</v>
      </c>
      <c r="R20" s="79" t="n"/>
      <c r="S20" s="74" t="n"/>
      <c r="T20" s="74" t="n"/>
      <c r="U20" s="74" t="n">
        <v>2</v>
      </c>
      <c r="V20" s="74" t="n">
        <v>2</v>
      </c>
      <c r="W20" s="122">
        <f>IFERROR(AVERAGE(Q20:V20),"")</f>
        <v/>
      </c>
      <c r="X20" s="76">
        <f>IFERROR($F20*$W20,"")</f>
        <v/>
      </c>
      <c r="Y20" s="81" t="inlineStr">
        <is>
          <t>AW:Veeam has a differnet architecture than Commvault and there are some components not able to setup as it requires global Administrator to work and e.g. the deduplication report needs to calculate manually by excel 
But based on what I am seeing on the demo , the reporting features are rich in Veeam but this score is based on what is perform on the POC
ZS:Veeam user interface has a consolidated view and much better to navigate but sadly their reporting features is partially available in their current Veeam Backup for Azure as most reporting features are available in their Veeam Backup &amp; Replication.</t>
        </is>
      </c>
      <c r="Z20" s="77" t="n"/>
      <c r="AA20" s="78" t="n"/>
      <c r="AB20" s="79" t="n"/>
      <c r="AC20" s="74" t="n"/>
      <c r="AD20" s="74" t="n"/>
      <c r="AE20" s="74" t="n"/>
      <c r="AF20" s="74" t="n"/>
      <c r="AG20" s="122">
        <f>IFERROR(AVERAGE(AA20:AF20),"")</f>
        <v/>
      </c>
      <c r="AH20" s="76">
        <f>IFERROR($F20*AG20,"")</f>
        <v/>
      </c>
      <c r="AI20" s="77" t="n"/>
      <c r="AJ20" s="77" t="n"/>
    </row>
    <row r="21" hidden="1" ht="25.5" customHeight="1">
      <c r="B21" s="78" t="inlineStr">
        <is>
          <t>T. 18</t>
        </is>
      </c>
      <c r="C21" s="36" t="inlineStr">
        <is>
          <t>backup/restore of PaaS services (e.g. Azure SQL, AKS…)</t>
        </is>
      </c>
      <c r="D21" s="36" t="inlineStr">
        <is>
          <t>Able to backup / Restore Azure SQL / AKS  , function check only</t>
        </is>
      </c>
      <c r="E21" s="37" t="inlineStr">
        <is>
          <t>Functional</t>
        </is>
      </c>
      <c r="F21" s="2" t="n">
        <v>2</v>
      </c>
      <c r="G21" s="78" t="n"/>
      <c r="H21" s="79" t="n"/>
      <c r="I21" s="74" t="n"/>
      <c r="J21" s="74" t="n"/>
      <c r="K21" s="74" t="n"/>
      <c r="L21" s="74" t="n"/>
      <c r="M21" s="122">
        <f>IFERROR(AVERAGE($G21,$H21,$I21,$J21,$K21,$L21),"")</f>
        <v/>
      </c>
      <c r="N21" s="76">
        <f>IFERROR($F21*$M21,"")</f>
        <v/>
      </c>
      <c r="O21" s="77" t="n"/>
      <c r="P21" s="77" t="n"/>
      <c r="Q21" s="78" t="n"/>
      <c r="R21" s="79" t="n"/>
      <c r="S21" s="74" t="n"/>
      <c r="T21" s="74" t="n"/>
      <c r="U21" s="74" t="n"/>
      <c r="V21" s="74" t="n"/>
      <c r="W21" s="122">
        <f>IFERROR(AVERAGE(Q21:V21),"")</f>
        <v/>
      </c>
      <c r="X21" s="76">
        <f>IFERROR($F21*$W21,"")</f>
        <v/>
      </c>
      <c r="Y21" s="77" t="n"/>
      <c r="Z21" s="77" t="n"/>
      <c r="AA21" s="78" t="n"/>
      <c r="AB21" s="79" t="n"/>
      <c r="AC21" s="74" t="n"/>
      <c r="AD21" s="74" t="n"/>
      <c r="AE21" s="74" t="n"/>
      <c r="AF21" s="74" t="n"/>
      <c r="AG21" s="122">
        <f>IFERROR(AVERAGE(AA21:AF21),"")</f>
        <v/>
      </c>
      <c r="AH21" s="76">
        <f>IFERROR($F21*AG21,"")</f>
        <v/>
      </c>
      <c r="AI21" s="77" t="n"/>
      <c r="AJ21" s="77" t="n"/>
    </row>
    <row r="22" ht="89.25" customHeight="1">
      <c r="B22" s="78" t="inlineStr">
        <is>
          <t>T. 19</t>
        </is>
      </c>
      <c r="C22" s="52" t="inlineStr">
        <is>
          <t>Infrastructure sizing - concurrent backup / restore</t>
        </is>
      </c>
      <c r="D22" s="52" t="inlineStr">
        <is>
          <t>Multiple backup are able to conduct in parallel in a scalable architecture</t>
        </is>
      </c>
      <c r="E22" s="3" t="inlineStr">
        <is>
          <t>Functional</t>
        </is>
      </c>
      <c r="F22" s="2" t="n">
        <v>2</v>
      </c>
      <c r="G22" s="78" t="n">
        <v>3</v>
      </c>
      <c r="H22" s="79" t="n"/>
      <c r="I22" s="74" t="n"/>
      <c r="J22" s="74" t="n"/>
      <c r="K22" s="74" t="n">
        <v>3</v>
      </c>
      <c r="L22" s="74" t="n">
        <v>1</v>
      </c>
      <c r="M22" s="122">
        <f>IFERROR(AVERAGE($G22,$H22,$I22,$J22,$K22,$L22),"")</f>
        <v/>
      </c>
      <c r="N22" s="76">
        <f>IFERROR($F22*$M22,"")</f>
        <v/>
      </c>
      <c r="O22" s="77" t="inlineStr">
        <is>
          <t>AW:Comvault's architecture overall is simple and scalable, however it is difficult to measure with other vendor's solution as the architecture is different 
ZS:Commvault backup is still based on traditional backup technology and not able to auto scale based on workload as concurrent backups will be placed in the backup queue</t>
        </is>
      </c>
      <c r="P22" s="77" t="inlineStr">
        <is>
          <t>AW:Give them a "3" because it is "easiest to implment in AIA"</t>
        </is>
      </c>
      <c r="Q22" s="78" t="n">
        <v>3</v>
      </c>
      <c r="R22" s="79" t="n"/>
      <c r="S22" s="74" t="n"/>
      <c r="T22" s="74" t="n"/>
      <c r="U22" s="74" t="n">
        <v>3</v>
      </c>
      <c r="V22" s="74" t="n">
        <v>3</v>
      </c>
      <c r="W22" s="122">
        <f>IFERROR(AVERAGE(Q22:V22),"")</f>
        <v/>
      </c>
      <c r="X22" s="76">
        <f>IFERROR($F22*$W22,"")</f>
        <v/>
      </c>
      <c r="Y22" s="77" t="inlineStr">
        <is>
          <t>ZS:Veeam is able to spin up new instances to cater for concurrent backup workloads easily</t>
        </is>
      </c>
      <c r="Z22" s="77" t="n"/>
      <c r="AA22" s="78" t="n"/>
      <c r="AB22" s="79" t="n"/>
      <c r="AC22" s="74" t="n"/>
      <c r="AD22" s="74" t="n"/>
      <c r="AE22" s="74" t="n"/>
      <c r="AF22" s="74" t="n"/>
      <c r="AG22" s="122">
        <f>IFERROR(AVERAGE(AA22:AF22),"")</f>
        <v/>
      </c>
      <c r="AH22" s="76">
        <f>IFERROR($F22*AG22,"")</f>
        <v/>
      </c>
      <c r="AI22" s="77" t="n"/>
      <c r="AJ22" s="77" t="n"/>
    </row>
    <row r="23" ht="25.5" customHeight="1">
      <c r="B23" s="78" t="inlineStr">
        <is>
          <t>T. 20</t>
        </is>
      </c>
      <c r="C23" s="52" t="inlineStr">
        <is>
          <t>Storage tiering (Different policy store to different tier of e.g. Azure hot/cold blob)</t>
        </is>
      </c>
      <c r="D23" s="52" t="inlineStr">
        <is>
          <t xml:space="preserve">Different policy for differnet retention supported </t>
        </is>
      </c>
      <c r="E23" s="3" t="inlineStr">
        <is>
          <t>Functional</t>
        </is>
      </c>
      <c r="F23" s="2" t="n">
        <v>3</v>
      </c>
      <c r="G23" s="78" t="n">
        <v>3</v>
      </c>
      <c r="H23" s="79" t="n"/>
      <c r="I23" s="74" t="n"/>
      <c r="J23" s="74" t="n"/>
      <c r="K23" s="74" t="n">
        <v>3</v>
      </c>
      <c r="L23" s="74" t="n">
        <v>3</v>
      </c>
      <c r="M23" s="122">
        <f>IFERROR(AVERAGE($G23,$H23,$I23,$J23,$K23,$L23),"")</f>
        <v/>
      </c>
      <c r="N23" s="76">
        <f>IFERROR($F23*$M23,"")</f>
        <v/>
      </c>
      <c r="O23" s="77" t="inlineStr">
        <is>
          <t>AW:All AIA requirements are supported and able to capture in AIA envirnoment</t>
        </is>
      </c>
      <c r="P23" s="77" t="n"/>
      <c r="Q23" s="78" t="n">
        <v>3</v>
      </c>
      <c r="R23" s="79" t="n"/>
      <c r="S23" s="74" t="n"/>
      <c r="T23" s="74" t="n"/>
      <c r="U23" s="74" t="n">
        <v>3</v>
      </c>
      <c r="V23" s="74" t="n">
        <v>3</v>
      </c>
      <c r="W23" s="122">
        <f>IFERROR(AVERAGE(Q23:V23),"")</f>
        <v/>
      </c>
      <c r="X23" s="76">
        <f>IFERROR($F23*$W23,"")</f>
        <v/>
      </c>
      <c r="Y23" s="77" t="n"/>
      <c r="Z23" s="77" t="n"/>
      <c r="AA23" s="78" t="n"/>
      <c r="AB23" s="79" t="n"/>
      <c r="AC23" s="74" t="n"/>
      <c r="AD23" s="74" t="n"/>
      <c r="AE23" s="74" t="n"/>
      <c r="AF23" s="74" t="n"/>
      <c r="AG23" s="122">
        <f>IFERROR(AVERAGE(AA23:AF23),"")</f>
        <v/>
      </c>
      <c r="AH23" s="76">
        <f>IFERROR($F23*AG23,"")</f>
        <v/>
      </c>
      <c r="AI23" s="77" t="n"/>
      <c r="AJ23" s="77" t="n"/>
    </row>
    <row r="24" ht="25.5" customHeight="1">
      <c r="B24" s="78" t="inlineStr">
        <is>
          <t>T. 21</t>
        </is>
      </c>
      <c r="C24" s="52" t="inlineStr">
        <is>
          <t>Archive tier support</t>
        </is>
      </c>
      <c r="D24" s="52" t="inlineStr">
        <is>
          <t>Azure Archive Blob support</t>
        </is>
      </c>
      <c r="E24" s="3" t="inlineStr">
        <is>
          <t>Functional</t>
        </is>
      </c>
      <c r="F24" s="2" t="n">
        <v>3</v>
      </c>
      <c r="G24" s="78" t="n">
        <v>3</v>
      </c>
      <c r="H24" s="79" t="n"/>
      <c r="I24" s="74" t="n"/>
      <c r="J24" s="74" t="n"/>
      <c r="K24" s="74" t="n">
        <v>3</v>
      </c>
      <c r="L24" s="74" t="n">
        <v>3</v>
      </c>
      <c r="M24" s="122">
        <f>IFERROR(AVERAGE($G24,$H24,$I24,$J24,$K24,$L24),"")</f>
        <v/>
      </c>
      <c r="N24" s="76">
        <f>IFERROR($F24*$M24,"")</f>
        <v/>
      </c>
      <c r="O24" s="77" t="inlineStr">
        <is>
          <t>AW:Support but not test in AIA enivonrment due to envnrionment contraint</t>
        </is>
      </c>
      <c r="P24" s="77" t="n"/>
      <c r="Q24" s="78" t="n">
        <v>3</v>
      </c>
      <c r="R24" s="79" t="n"/>
      <c r="S24" s="74" t="n"/>
      <c r="T24" s="74" t="n"/>
      <c r="U24" s="74" t="n">
        <v>3</v>
      </c>
      <c r="V24" s="74" t="n">
        <v>3</v>
      </c>
      <c r="W24" s="122">
        <f>IFERROR(AVERAGE(Q24:V24),"")</f>
        <v/>
      </c>
      <c r="X24" s="76">
        <f>IFERROR($F24*$W24,"")</f>
        <v/>
      </c>
      <c r="Y24" s="77" t="n"/>
      <c r="Z24" s="77" t="n"/>
      <c r="AA24" s="78" t="n"/>
      <c r="AB24" s="79" t="n"/>
      <c r="AC24" s="74" t="n"/>
      <c r="AD24" s="74" t="n"/>
      <c r="AE24" s="74" t="n"/>
      <c r="AF24" s="74" t="n"/>
      <c r="AG24" s="122">
        <f>IFERROR(AVERAGE(AA24:AF24),"")</f>
        <v/>
      </c>
      <c r="AH24" s="76">
        <f>IFERROR($F24*AG24,"")</f>
        <v/>
      </c>
      <c r="AI24" s="77" t="n"/>
      <c r="AJ24" s="77" t="n"/>
    </row>
    <row r="25" hidden="1">
      <c r="B25" s="78" t="inlineStr">
        <is>
          <t>T. 22</t>
        </is>
      </c>
      <c r="C25" s="36" t="inlineStr">
        <is>
          <t>Pricing structure</t>
        </is>
      </c>
      <c r="D25" s="36" t="inlineStr">
        <is>
          <t>single and simple charging mechanism</t>
        </is>
      </c>
      <c r="E25" s="3" t="inlineStr">
        <is>
          <t>Functional</t>
        </is>
      </c>
      <c r="F25" s="2" t="n">
        <v>3</v>
      </c>
      <c r="G25" s="78" t="n"/>
      <c r="H25" s="79" t="n"/>
      <c r="I25" s="74" t="n"/>
      <c r="J25" s="74" t="n"/>
      <c r="K25" s="74" t="n"/>
      <c r="L25" s="74" t="n"/>
      <c r="M25" s="122">
        <f>IFERROR(AVERAGE($G25,$H25,$I25,$J25,$K25,$L25),"")</f>
        <v/>
      </c>
      <c r="N25" s="76">
        <f>IFERROR($F25*$M25,"")</f>
        <v/>
      </c>
      <c r="O25" s="77" t="n"/>
      <c r="P25" s="77" t="n"/>
      <c r="Q25" s="78" t="n"/>
      <c r="R25" s="79" t="n"/>
      <c r="S25" s="74" t="n"/>
      <c r="T25" s="74" t="n"/>
      <c r="U25" s="74" t="n"/>
      <c r="V25" s="74" t="n"/>
      <c r="W25" s="122">
        <f>IFERROR(AVERAGE(Q25:V25),"")</f>
        <v/>
      </c>
      <c r="X25" s="76">
        <f>IFERROR($F25*$W25,"")</f>
        <v/>
      </c>
      <c r="Y25" s="77" t="n"/>
      <c r="Z25" s="77" t="n"/>
      <c r="AA25" s="78" t="n"/>
      <c r="AB25" s="79" t="n"/>
      <c r="AC25" s="74" t="n"/>
      <c r="AD25" s="74" t="n"/>
      <c r="AE25" s="74" t="n"/>
      <c r="AF25" s="74" t="n"/>
      <c r="AG25" s="122">
        <f>IFERROR(AVERAGE(AA25:AF25),"")</f>
        <v/>
      </c>
      <c r="AH25" s="76">
        <f>IFERROR($F25*AG25,"")</f>
        <v/>
      </c>
      <c r="AI25" s="77" t="n"/>
      <c r="AJ25" s="77" t="n"/>
    </row>
    <row r="26" ht="25.5" customHeight="1">
      <c r="B26" s="78" t="inlineStr">
        <is>
          <t>T. 23</t>
        </is>
      </c>
      <c r="C26" s="52" t="inlineStr">
        <is>
          <t>Auto Tiering support</t>
        </is>
      </c>
      <c r="D26" s="52" t="inlineStr">
        <is>
          <t>Move Monthly backup from Cold / Hot to Azure tier automatically</t>
        </is>
      </c>
      <c r="E26" s="3" t="inlineStr">
        <is>
          <t>Functional</t>
        </is>
      </c>
      <c r="F26" s="2" t="n">
        <v>3</v>
      </c>
      <c r="G26" s="78" t="n">
        <v>3</v>
      </c>
      <c r="H26" s="79" t="n"/>
      <c r="I26" s="74" t="n"/>
      <c r="J26" s="74" t="n"/>
      <c r="K26" s="74" t="n">
        <v>3</v>
      </c>
      <c r="L26" s="74" t="n">
        <v>3</v>
      </c>
      <c r="M26" s="122">
        <f>IFERROR(AVERAGE($G26,$H26,$I26,$J26,$K26,$L26),"")</f>
        <v/>
      </c>
      <c r="N26" s="76">
        <f>IFERROR($F26*$M26,"")</f>
        <v/>
      </c>
      <c r="O26" s="77" t="inlineStr">
        <is>
          <t>AW:Support but not test in AIA enivonrment due to envnrionment contraint</t>
        </is>
      </c>
      <c r="P26" s="77" t="n"/>
      <c r="Q26" s="78" t="n">
        <v>3</v>
      </c>
      <c r="R26" s="79" t="n"/>
      <c r="S26" s="74" t="n"/>
      <c r="T26" s="74" t="n"/>
      <c r="U26" s="74" t="n">
        <v>3</v>
      </c>
      <c r="V26" s="74" t="n">
        <v>3</v>
      </c>
      <c r="W26" s="122">
        <f>IFERROR(AVERAGE(Q26:V26),"")</f>
        <v/>
      </c>
      <c r="X26" s="76">
        <f>IFERROR($F26*$W26,"")</f>
        <v/>
      </c>
      <c r="Y26" s="77" t="n"/>
      <c r="Z26" s="77" t="n"/>
      <c r="AA26" s="78" t="n"/>
      <c r="AB26" s="79" t="n"/>
      <c r="AC26" s="74" t="n"/>
      <c r="AD26" s="74" t="n"/>
      <c r="AE26" s="74" t="n"/>
      <c r="AF26" s="74" t="n"/>
      <c r="AG26" s="122">
        <f>IFERROR(AVERAGE(AA26:AF26),"")</f>
        <v/>
      </c>
      <c r="AH26" s="76">
        <f>IFERROR($F26*AG26,"")</f>
        <v/>
      </c>
      <c r="AI26" s="77" t="n"/>
      <c r="AJ26" s="77" t="n"/>
    </row>
    <row r="27" ht="25.5" customHeight="1">
      <c r="B27" s="78" t="inlineStr">
        <is>
          <t>T. 24</t>
        </is>
      </c>
      <c r="C27" s="52" t="inlineStr">
        <is>
          <t>Data at rest encryption</t>
        </is>
      </c>
      <c r="D27" s="52" t="inlineStr">
        <is>
          <t xml:space="preserve">Backup encrypted </t>
        </is>
      </c>
      <c r="E27" s="3" t="inlineStr">
        <is>
          <t>Functional</t>
        </is>
      </c>
      <c r="F27" s="2" t="n">
        <v>1</v>
      </c>
      <c r="G27" s="78" t="n">
        <v>3</v>
      </c>
      <c r="H27" s="79" t="n"/>
      <c r="I27" s="74" t="n"/>
      <c r="J27" s="74" t="n"/>
      <c r="K27" s="74" t="n">
        <v>3</v>
      </c>
      <c r="L27" s="74" t="n">
        <v>3</v>
      </c>
      <c r="M27" s="122">
        <f>IFERROR(AVERAGE($G27,$H27,$I27,$J27,$K27,$L27),"")</f>
        <v/>
      </c>
      <c r="N27" s="76">
        <f>IFERROR($F27*$M27,"")</f>
        <v/>
      </c>
      <c r="O27" s="77" t="inlineStr">
        <is>
          <t>AW:Support but not test in AIA enivonrment due to envnrionment contraint</t>
        </is>
      </c>
      <c r="P27" s="77" t="n"/>
      <c r="Q27" s="78" t="n">
        <v>3</v>
      </c>
      <c r="R27" s="79" t="n"/>
      <c r="S27" s="74" t="n"/>
      <c r="T27" s="74" t="n"/>
      <c r="U27" s="74" t="n">
        <v>3</v>
      </c>
      <c r="V27" s="74" t="n">
        <v>3</v>
      </c>
      <c r="W27" s="122">
        <f>IFERROR(AVERAGE(Q27:V27),"")</f>
        <v/>
      </c>
      <c r="X27" s="76">
        <f>IFERROR($F27*$W27,"")</f>
        <v/>
      </c>
      <c r="Y27" s="77" t="n"/>
      <c r="Z27" s="77" t="n"/>
      <c r="AA27" s="78" t="n"/>
      <c r="AB27" s="79" t="n"/>
      <c r="AC27" s="74" t="n"/>
      <c r="AD27" s="74" t="n"/>
      <c r="AE27" s="74" t="n"/>
      <c r="AF27" s="74" t="n"/>
      <c r="AG27" s="122">
        <f>IFERROR(AVERAGE(AA27:AF27),"")</f>
        <v/>
      </c>
      <c r="AH27" s="76">
        <f>IFERROR($F27*AG27,"")</f>
        <v/>
      </c>
      <c r="AI27" s="77" t="n"/>
      <c r="AJ27" s="77" t="n"/>
    </row>
    <row r="28" ht="25.5" customHeight="1">
      <c r="B28" s="78" t="inlineStr">
        <is>
          <t>T. 25</t>
        </is>
      </c>
      <c r="C28" s="52" t="inlineStr">
        <is>
          <t>Azure Keyvault integration</t>
        </is>
      </c>
      <c r="D28" s="52" t="inlineStr">
        <is>
          <t>Encryption Key intgration with Azure Keyvault</t>
        </is>
      </c>
      <c r="E28" s="3" t="inlineStr">
        <is>
          <t>Functional</t>
        </is>
      </c>
      <c r="F28" s="2" t="n">
        <v>2</v>
      </c>
      <c r="G28" s="78" t="n">
        <v>3</v>
      </c>
      <c r="H28" s="79" t="n"/>
      <c r="I28" s="74" t="n"/>
      <c r="J28" s="74" t="n"/>
      <c r="K28" s="74" t="n">
        <v>3</v>
      </c>
      <c r="L28" s="74" t="n">
        <v>3</v>
      </c>
      <c r="M28" s="122">
        <f>IFERROR(AVERAGE($G28,$H28,$I28,$J28,$K28,$L28),"")</f>
        <v/>
      </c>
      <c r="N28" s="76">
        <f>IFERROR($F28*$M28,"")</f>
        <v/>
      </c>
      <c r="O28" s="77" t="inlineStr">
        <is>
          <t>AW:Support but not test in AIA enivonrment due to envnrionment contraint</t>
        </is>
      </c>
      <c r="P28" s="77" t="n"/>
      <c r="Q28" s="39" t="n">
        <v>3</v>
      </c>
      <c r="R28" s="79" t="n"/>
      <c r="S28" s="74" t="n"/>
      <c r="T28" s="74" t="n"/>
      <c r="U28" s="74" t="n">
        <v>3</v>
      </c>
      <c r="V28" s="74" t="n">
        <v>3</v>
      </c>
      <c r="W28" s="122">
        <f>IFERROR(AVERAGE(Q28:V28),"")</f>
        <v/>
      </c>
      <c r="X28" s="76">
        <f>IFERROR($F28*$W28,"")</f>
        <v/>
      </c>
      <c r="Y28" s="77" t="inlineStr">
        <is>
          <t>AW:Support but not test in AIA enivonrment due to envnrionment contraint</t>
        </is>
      </c>
      <c r="Z28" s="77" t="n"/>
      <c r="AA28" s="78" t="n"/>
      <c r="AB28" s="79" t="n"/>
      <c r="AC28" s="74" t="n"/>
      <c r="AD28" s="74" t="n"/>
      <c r="AE28" s="74" t="n"/>
      <c r="AF28" s="74" t="n"/>
      <c r="AG28" s="122">
        <f>IFERROR(AVERAGE(AA28:AF28),"")</f>
        <v/>
      </c>
      <c r="AH28" s="76">
        <f>IFERROR($F28*AG28,"")</f>
        <v/>
      </c>
      <c r="AI28" s="77" t="n"/>
      <c r="AJ28" s="77" t="n"/>
    </row>
    <row r="29" ht="51" customHeight="1">
      <c r="B29" s="78" t="inlineStr">
        <is>
          <t>T. 26</t>
        </is>
      </c>
      <c r="C29" s="52" t="inlineStr">
        <is>
          <t>Two Copies of backup to two Azure Region</t>
        </is>
      </c>
      <c r="D29" s="52" t="inlineStr">
        <is>
          <t>Two copies of data , one in Azure EA and another in Azure SEA</t>
        </is>
      </c>
      <c r="E29" s="3" t="inlineStr">
        <is>
          <t>Functional</t>
        </is>
      </c>
      <c r="F29" s="2" t="n">
        <v>1</v>
      </c>
      <c r="G29" s="78" t="n">
        <v>3</v>
      </c>
      <c r="H29" s="79" t="n"/>
      <c r="I29" s="74" t="n"/>
      <c r="J29" s="74" t="n"/>
      <c r="K29" s="74" t="n">
        <v>3</v>
      </c>
      <c r="L29" s="74" t="n">
        <v>3</v>
      </c>
      <c r="M29" s="122">
        <f>IFERROR(AVERAGE($G29,$H29,$I29,$J29,$K29,$L29),"")</f>
        <v/>
      </c>
      <c r="N29" s="76">
        <f>IFERROR($F29*$M29,"")</f>
        <v/>
      </c>
      <c r="O29" s="77" t="inlineStr">
        <is>
          <t>AW:Tested in POC with success</t>
        </is>
      </c>
      <c r="P29" s="77" t="n"/>
      <c r="Q29" s="78" t="n">
        <v>1</v>
      </c>
      <c r="R29" s="79" t="n">
        <v>2</v>
      </c>
      <c r="S29" s="74" t="n"/>
      <c r="T29" s="74" t="n"/>
      <c r="U29" s="74" t="n">
        <v>1</v>
      </c>
      <c r="V29" s="74" t="n">
        <v>2</v>
      </c>
      <c r="W29" s="122">
        <f>IFERROR(AVERAGE(Q29:V29),"")</f>
        <v/>
      </c>
      <c r="X29" s="76">
        <f>IFERROR($F29*$W29,"")</f>
        <v/>
      </c>
      <c r="Y29" s="77" t="inlineStr">
        <is>
          <t xml:space="preserve">AW: Veeam is able to provide demo in their own environment as this test is not able to perform in AIA POC environment due to setup contraint in AIA : Require Global Administrator to work </t>
        </is>
      </c>
      <c r="Z29" s="77" t="n"/>
      <c r="AA29" s="78" t="n"/>
      <c r="AB29" s="79" t="n"/>
      <c r="AC29" s="74" t="n"/>
      <c r="AD29" s="74" t="n"/>
      <c r="AE29" s="74" t="n"/>
      <c r="AF29" s="74" t="n"/>
      <c r="AG29" s="122">
        <f>IFERROR(AVERAGE(AA29:AF29),"")</f>
        <v/>
      </c>
      <c r="AH29" s="76">
        <f>IFERROR($F29*AG29,"")</f>
        <v/>
      </c>
      <c r="AI29" s="77" t="n"/>
      <c r="AJ29" s="77" t="n"/>
    </row>
    <row r="30" ht="38.25" customHeight="1">
      <c r="B30" s="78" t="inlineStr">
        <is>
          <t>T. 27</t>
        </is>
      </c>
      <c r="C30" s="52" t="inlineStr">
        <is>
          <t>Network replication efficiency (send compressed / deduplicated backup only)</t>
        </is>
      </c>
      <c r="D30" s="52" t="inlineStr">
        <is>
          <t>Demonostrate only the "delta" are replicated</t>
        </is>
      </c>
      <c r="E30" s="3" t="inlineStr">
        <is>
          <t>Functional</t>
        </is>
      </c>
      <c r="F30" s="2" t="n">
        <v>2</v>
      </c>
      <c r="G30" s="78" t="n">
        <v>3</v>
      </c>
      <c r="H30" s="79" t="n"/>
      <c r="I30" s="74" t="n"/>
      <c r="J30" s="74" t="n"/>
      <c r="K30" s="74" t="n">
        <v>3</v>
      </c>
      <c r="L30" s="74" t="n">
        <v>3</v>
      </c>
      <c r="M30" s="122">
        <f>IFERROR(AVERAGE($G30,$H30,$I30,$J30,$K30,$L30),"")</f>
        <v/>
      </c>
      <c r="N30" s="76">
        <f>IFERROR($F30*$M30,"")</f>
        <v/>
      </c>
      <c r="O30" s="77" t="inlineStr">
        <is>
          <t>AW:Tested in POC with success</t>
        </is>
      </c>
      <c r="P30" s="77" t="n"/>
      <c r="Q30" s="78" t="n">
        <v>2</v>
      </c>
      <c r="R30" s="79" t="n"/>
      <c r="S30" s="74" t="n"/>
      <c r="T30" s="74" t="n"/>
      <c r="U30" s="74" t="n">
        <v>2</v>
      </c>
      <c r="V30" s="74" t="n">
        <v>2</v>
      </c>
      <c r="W30" s="122">
        <f>IFERROR(AVERAGE(Q30:V30),"")</f>
        <v/>
      </c>
      <c r="X30" s="76">
        <f>IFERROR($F30*$W30,"")</f>
        <v/>
      </c>
      <c r="Y30" s="77" t="inlineStr">
        <is>
          <t>AW:Not available to see in AIA enivonrment about the efficiency as Veeam Replication is not able to run in POC</t>
        </is>
      </c>
      <c r="Z30" s="77" t="n"/>
      <c r="AA30" s="78" t="n"/>
      <c r="AB30" s="79" t="n"/>
      <c r="AC30" s="74" t="n"/>
      <c r="AD30" s="74" t="n"/>
      <c r="AE30" s="74" t="n"/>
      <c r="AF30" s="74" t="n"/>
      <c r="AG30" s="122">
        <f>IFERROR(AVERAGE(AA30:AF30),"")</f>
        <v/>
      </c>
      <c r="AH30" s="76">
        <f>IFERROR($F30*AG30,"")</f>
        <v/>
      </c>
      <c r="AI30" s="77" t="n"/>
      <c r="AJ30" s="77" t="n"/>
    </row>
    <row r="31">
      <c r="B31" s="78" t="inlineStr">
        <is>
          <t>T. 28</t>
        </is>
      </c>
      <c r="C31" s="52" t="inlineStr">
        <is>
          <t>Restore backup to new VM</t>
        </is>
      </c>
      <c r="D31" s="52" t="inlineStr">
        <is>
          <t>Able to restore backup as new VM</t>
        </is>
      </c>
      <c r="E31" s="3" t="inlineStr">
        <is>
          <t>Functional</t>
        </is>
      </c>
      <c r="F31" s="2" t="n">
        <v>2</v>
      </c>
      <c r="G31" s="78" t="n">
        <v>3</v>
      </c>
      <c r="H31" s="79" t="n"/>
      <c r="I31" s="74" t="n"/>
      <c r="J31" s="74" t="n"/>
      <c r="K31" s="74" t="n">
        <v>3</v>
      </c>
      <c r="L31" s="74" t="n">
        <v>3</v>
      </c>
      <c r="M31" s="122">
        <f>IFERROR(AVERAGE($G31,$H31,$I31,$J31,$K31,$L31),"")</f>
        <v/>
      </c>
      <c r="N31" s="76">
        <f>IFERROR($F31*$M31,"")</f>
        <v/>
      </c>
      <c r="O31" s="77" t="inlineStr">
        <is>
          <t>AW:Tested in POC with success</t>
        </is>
      </c>
      <c r="P31" s="77" t="n"/>
      <c r="Q31" s="78" t="n">
        <v>3</v>
      </c>
      <c r="R31" s="79" t="n"/>
      <c r="S31" s="74" t="n"/>
      <c r="T31" s="74" t="n"/>
      <c r="U31" s="74" t="n">
        <v>3</v>
      </c>
      <c r="V31" s="74" t="n">
        <v>3</v>
      </c>
      <c r="W31" s="122">
        <f>IFERROR(AVERAGE(Q31:V31),"")</f>
        <v/>
      </c>
      <c r="X31" s="76">
        <f>IFERROR($F31*$W31,"")</f>
        <v/>
      </c>
      <c r="Y31" s="77" t="n"/>
      <c r="Z31" s="77" t="n"/>
      <c r="AA31" s="78" t="n"/>
      <c r="AB31" s="79" t="n"/>
      <c r="AC31" s="74" t="n"/>
      <c r="AD31" s="74" t="n"/>
      <c r="AE31" s="74" t="n"/>
      <c r="AF31" s="74" t="n"/>
      <c r="AG31" s="122">
        <f>IFERROR(AVERAGE(AA31:AF31),"")</f>
        <v/>
      </c>
      <c r="AH31" s="76">
        <f>IFERROR($F31*AG31,"")</f>
        <v/>
      </c>
      <c r="AI31" s="77" t="n"/>
      <c r="AJ31" s="77" t="n"/>
    </row>
    <row r="32" hidden="1" ht="38.25" customHeight="1">
      <c r="B32" s="78" t="inlineStr">
        <is>
          <t>T. 29</t>
        </is>
      </c>
      <c r="C32" s="36" t="inlineStr">
        <is>
          <t>Backup store in another cloud provider</t>
        </is>
      </c>
      <c r="D32" s="36" t="inlineStr">
        <is>
          <t>Support data replication to another cloud provider
- AWS
- GCP</t>
        </is>
      </c>
      <c r="E32" s="37" t="inlineStr">
        <is>
          <t>Optional</t>
        </is>
      </c>
      <c r="F32" s="2" t="n">
        <v>1</v>
      </c>
      <c r="G32" s="78" t="n"/>
      <c r="H32" s="79" t="n"/>
      <c r="I32" s="74" t="n"/>
      <c r="J32" s="74" t="n"/>
      <c r="K32" s="74" t="n"/>
      <c r="L32" s="74" t="n"/>
      <c r="M32" s="122">
        <f>IFERROR(AVERAGE($G32,$H32,$I32,$J32,$K32,$L32),"")</f>
        <v/>
      </c>
      <c r="N32" s="76">
        <f>IFERROR($F32*$M32,"")</f>
        <v/>
      </c>
      <c r="O32" s="77" t="n"/>
      <c r="P32" s="77" t="n"/>
      <c r="Q32" s="78" t="n"/>
      <c r="R32" s="79" t="n"/>
      <c r="S32" s="74" t="n"/>
      <c r="T32" s="74" t="n"/>
      <c r="U32" s="74" t="n"/>
      <c r="V32" s="74" t="n"/>
      <c r="W32" s="122">
        <f>IFERROR(AVERAGE(Q32:V32),"")</f>
        <v/>
      </c>
      <c r="X32" s="76">
        <f>IFERROR($F32*$W32,"")</f>
        <v/>
      </c>
      <c r="Y32" s="77" t="n"/>
      <c r="Z32" s="77" t="n"/>
      <c r="AA32" s="78" t="n"/>
      <c r="AB32" s="79" t="n"/>
      <c r="AC32" s="74" t="n"/>
      <c r="AD32" s="74" t="n"/>
      <c r="AE32" s="74" t="n"/>
      <c r="AF32" s="74" t="n"/>
      <c r="AG32" s="122">
        <f>IFERROR(AVERAGE(AA32:AF32),"")</f>
        <v/>
      </c>
      <c r="AH32" s="76">
        <f>IFERROR($F32*AG32,"")</f>
        <v/>
      </c>
      <c r="AI32" s="77" t="n"/>
      <c r="AJ32" s="77" t="n"/>
    </row>
    <row r="33" hidden="1" ht="51" customHeight="1">
      <c r="B33" s="78" t="inlineStr">
        <is>
          <t>T. 30</t>
        </is>
      </c>
      <c r="C33" s="36" t="inlineStr">
        <is>
          <t>Restore backup to another cloud provider</t>
        </is>
      </c>
      <c r="D33" s="36" t="inlineStr">
        <is>
          <t>Capability to orchestrate restoration to another cloud provider 
- AWS
- GCP</t>
        </is>
      </c>
      <c r="E33" s="37" t="inlineStr">
        <is>
          <t>Optional</t>
        </is>
      </c>
      <c r="F33" s="2" t="n">
        <v>1</v>
      </c>
      <c r="G33" s="78" t="n"/>
      <c r="H33" s="79" t="n"/>
      <c r="I33" s="74" t="n"/>
      <c r="J33" s="74" t="n"/>
      <c r="K33" s="74" t="n"/>
      <c r="L33" s="74" t="n"/>
      <c r="M33" s="122">
        <f>IFERROR(AVERAGE($G33,$H33,$I33,$J33,$K33,$L33),"")</f>
        <v/>
      </c>
      <c r="N33" s="76">
        <f>IFERROR($F33*$M33,"")</f>
        <v/>
      </c>
      <c r="O33" s="77" t="n"/>
      <c r="P33" s="77" t="n"/>
      <c r="Q33" s="78" t="n"/>
      <c r="R33" s="79" t="n"/>
      <c r="S33" s="74" t="n"/>
      <c r="T33" s="74" t="n"/>
      <c r="U33" s="74" t="n"/>
      <c r="V33" s="74" t="n"/>
      <c r="W33" s="122">
        <f>IFERROR(AVERAGE(Q33:V33),"")</f>
        <v/>
      </c>
      <c r="X33" s="76">
        <f>IFERROR($F33*$W33,"")</f>
        <v/>
      </c>
      <c r="Y33" s="77" t="n"/>
      <c r="Z33" s="77" t="n"/>
      <c r="AA33" s="78" t="n"/>
      <c r="AB33" s="79" t="n"/>
      <c r="AC33" s="74" t="n"/>
      <c r="AD33" s="74" t="n"/>
      <c r="AE33" s="74" t="n"/>
      <c r="AF33" s="74" t="n"/>
      <c r="AG33" s="122">
        <f>IFERROR(AVERAGE(AA33:AF33),"")</f>
        <v/>
      </c>
      <c r="AH33" s="76">
        <f>IFERROR($F33*AG33,"")</f>
        <v/>
      </c>
      <c r="AI33" s="77" t="n"/>
      <c r="AJ33" s="77" t="n"/>
    </row>
    <row r="34" hidden="1" ht="25.5" customHeight="1">
      <c r="B34" s="78" t="inlineStr">
        <is>
          <t>T. 31</t>
        </is>
      </c>
      <c r="C34" s="36" t="inlineStr">
        <is>
          <t>AS/400 support</t>
        </is>
      </c>
      <c r="D34" s="36" t="inlineStr">
        <is>
          <t xml:space="preserve">if there is a chance to support AS/400 without building new set of  infrastructure  - extension of existing infra etc. </t>
        </is>
      </c>
      <c r="E34" s="37" t="inlineStr">
        <is>
          <t>Optional</t>
        </is>
      </c>
      <c r="F34" s="2" t="n">
        <v>1</v>
      </c>
      <c r="G34" s="78" t="n"/>
      <c r="H34" s="79" t="n"/>
      <c r="I34" s="74" t="n"/>
      <c r="J34" s="74" t="n"/>
      <c r="K34" s="74" t="n"/>
      <c r="L34" s="74" t="n"/>
      <c r="M34" s="122">
        <f>IFERROR(AVERAGE($G34,$H34,$I34,$J34,$K34,$L34),"")</f>
        <v/>
      </c>
      <c r="N34" s="76">
        <f>IFERROR($F34*$M34,"")</f>
        <v/>
      </c>
      <c r="O34" s="77" t="n"/>
      <c r="P34" s="77" t="n"/>
      <c r="Q34" s="78" t="n"/>
      <c r="R34" s="79" t="n"/>
      <c r="S34" s="74" t="n"/>
      <c r="T34" s="74" t="n"/>
      <c r="U34" s="74" t="n"/>
      <c r="V34" s="74" t="n"/>
      <c r="W34" s="122">
        <f>IFERROR(AVERAGE(Q34:V34),"")</f>
        <v/>
      </c>
      <c r="X34" s="76">
        <f>IFERROR($F34*$W34,"")</f>
        <v/>
      </c>
      <c r="Y34" s="77" t="n"/>
      <c r="Z34" s="77" t="n"/>
      <c r="AA34" s="78" t="n"/>
      <c r="AB34" s="79" t="n"/>
      <c r="AC34" s="74" t="n"/>
      <c r="AD34" s="74" t="n"/>
      <c r="AE34" s="74" t="n"/>
      <c r="AF34" s="74" t="n"/>
      <c r="AG34" s="122">
        <f>IFERROR(AVERAGE(AA34:AF34),"")</f>
        <v/>
      </c>
      <c r="AH34" s="76">
        <f>IFERROR($F34*AG34,"")</f>
        <v/>
      </c>
      <c r="AI34" s="77" t="n"/>
      <c r="AJ34" s="77" t="n"/>
    </row>
    <row r="35">
      <c r="B35" s="78" t="inlineStr">
        <is>
          <t>T. 32</t>
        </is>
      </c>
      <c r="C35" s="52" t="inlineStr">
        <is>
          <t>Retention Period</t>
        </is>
      </c>
      <c r="D35" s="52" t="inlineStr">
        <is>
          <t>Able to backup back on AIA defined policty</t>
        </is>
      </c>
      <c r="E35" s="3" t="inlineStr">
        <is>
          <t>Non-Functional</t>
        </is>
      </c>
      <c r="F35" s="2" t="n">
        <v>1</v>
      </c>
      <c r="G35" s="78" t="n">
        <v>3</v>
      </c>
      <c r="H35" s="79" t="n"/>
      <c r="I35" s="74" t="n"/>
      <c r="J35" s="74" t="n"/>
      <c r="K35" s="74" t="n">
        <v>3</v>
      </c>
      <c r="L35" s="74" t="n">
        <v>3</v>
      </c>
      <c r="M35" s="122">
        <f>IFERROR(AVERAGE($G35,$H35,$I35,$J35,$K35,$L35),"")</f>
        <v/>
      </c>
      <c r="N35" s="76">
        <f>IFERROR($F35*$M35,"")</f>
        <v/>
      </c>
      <c r="O35" s="77" t="inlineStr">
        <is>
          <t>AW:Tested in POC with success</t>
        </is>
      </c>
      <c r="P35" s="77" t="n"/>
      <c r="Q35" s="78" t="n">
        <v>3</v>
      </c>
      <c r="R35" s="79" t="n"/>
      <c r="S35" s="74" t="n"/>
      <c r="T35" s="74" t="n"/>
      <c r="U35" s="74" t="n">
        <v>3</v>
      </c>
      <c r="V35" s="74" t="n">
        <v>3</v>
      </c>
      <c r="W35" s="122">
        <f>IFERROR(AVERAGE(Q35:V35),"")</f>
        <v/>
      </c>
      <c r="X35" s="76">
        <f>IFERROR($F35*$W35,"")</f>
        <v/>
      </c>
      <c r="Y35" s="77" t="n"/>
      <c r="Z35" s="77" t="n"/>
      <c r="AA35" s="78" t="n"/>
      <c r="AB35" s="79" t="n"/>
      <c r="AC35" s="74" t="n"/>
      <c r="AD35" s="74" t="n"/>
      <c r="AE35" s="74" t="n"/>
      <c r="AF35" s="74" t="n"/>
      <c r="AG35" s="122">
        <f>IFERROR(AVERAGE(AA35:AF35),"")</f>
        <v/>
      </c>
      <c r="AH35" s="76">
        <f>IFERROR($F35*AG35,"")</f>
        <v/>
      </c>
      <c r="AI35" s="77" t="n"/>
      <c r="AJ35" s="77" t="n"/>
    </row>
    <row r="36" hidden="1">
      <c r="B36" s="78" t="inlineStr">
        <is>
          <t>T. 33</t>
        </is>
      </c>
      <c r="C36" s="36" t="inlineStr">
        <is>
          <t>Data Volume (1000 VM)</t>
        </is>
      </c>
      <c r="D36" s="36" t="inlineStr">
        <is>
          <t>100GB per OS backup (usable)</t>
        </is>
      </c>
      <c r="E36" s="3" t="inlineStr">
        <is>
          <t>Non-Functional</t>
        </is>
      </c>
      <c r="F36" s="2" t="n">
        <v>3</v>
      </c>
      <c r="G36" s="78" t="n"/>
      <c r="H36" s="79" t="n"/>
      <c r="I36" s="74" t="n"/>
      <c r="J36" s="74" t="n"/>
      <c r="K36" s="74" t="n"/>
      <c r="L36" s="74" t="n"/>
      <c r="M36" s="122">
        <f>IFERROR(AVERAGE($G36,$H36,$I36,$J36,$K36,$L36),"")</f>
        <v/>
      </c>
      <c r="N36" s="76">
        <f>IFERROR($F36*$M36,"")</f>
        <v/>
      </c>
      <c r="O36" s="77" t="n"/>
      <c r="P36" s="77" t="n"/>
      <c r="Q36" s="78" t="n"/>
      <c r="R36" s="79" t="n"/>
      <c r="S36" s="74" t="n"/>
      <c r="T36" s="74" t="n"/>
      <c r="U36" s="74" t="n"/>
      <c r="V36" s="74" t="n"/>
      <c r="W36" s="122">
        <f>IFERROR(AVERAGE(Q36:V36),"")</f>
        <v/>
      </c>
      <c r="X36" s="76">
        <f>IFERROR($F36*$W36,"")</f>
        <v/>
      </c>
      <c r="Y36" s="77" t="n"/>
      <c r="Z36" s="77" t="n"/>
      <c r="AA36" s="78" t="n"/>
      <c r="AB36" s="79" t="n"/>
      <c r="AC36" s="74" t="n"/>
      <c r="AD36" s="74" t="n"/>
      <c r="AE36" s="74" t="n"/>
      <c r="AF36" s="74" t="n"/>
      <c r="AG36" s="122">
        <f>IFERROR(AVERAGE(AA36:AF36),"")</f>
        <v/>
      </c>
      <c r="AH36" s="76">
        <f>IFERROR($F36*AG36,"")</f>
        <v/>
      </c>
      <c r="AI36" s="77" t="n"/>
      <c r="AJ36" s="77" t="n"/>
    </row>
    <row r="37">
      <c r="B37" s="78" t="inlineStr">
        <is>
          <t>T. 34</t>
        </is>
      </c>
      <c r="C37" s="52" t="inlineStr">
        <is>
          <t>Backup/restore frequency</t>
        </is>
      </c>
      <c r="D37" s="52" t="inlineStr">
        <is>
          <t>42 daily , 13 monthly , 8 yearly</t>
        </is>
      </c>
      <c r="E37" s="3" t="inlineStr">
        <is>
          <t>Non-Functional</t>
        </is>
      </c>
      <c r="F37" s="2" t="n">
        <v>1</v>
      </c>
      <c r="G37" s="78" t="n">
        <v>3</v>
      </c>
      <c r="H37" s="79" t="n"/>
      <c r="I37" s="74" t="n"/>
      <c r="J37" s="74" t="n"/>
      <c r="K37" s="74" t="n">
        <v>3</v>
      </c>
      <c r="L37" s="74" t="n">
        <v>3</v>
      </c>
      <c r="M37" s="122">
        <f>IFERROR(AVERAGE($G37,$H37,$I37,$J37,$K37,$L37),"")</f>
        <v/>
      </c>
      <c r="N37" s="76">
        <f>IFERROR($F37*$M37,"")</f>
        <v/>
      </c>
      <c r="O37" s="77" t="inlineStr">
        <is>
          <t>AW:Tested in POC with success</t>
        </is>
      </c>
      <c r="P37" s="77" t="n"/>
      <c r="Q37" s="78" t="n">
        <v>3</v>
      </c>
      <c r="R37" s="79" t="n"/>
      <c r="S37" s="74" t="n"/>
      <c r="T37" s="74" t="n"/>
      <c r="U37" s="74" t="n">
        <v>3</v>
      </c>
      <c r="V37" s="74" t="n">
        <v>3</v>
      </c>
      <c r="W37" s="122">
        <f>IFERROR(AVERAGE(Q37:V37),"")</f>
        <v/>
      </c>
      <c r="X37" s="76">
        <f>IFERROR($F37*$W37,"")</f>
        <v/>
      </c>
      <c r="Y37" s="77" t="n"/>
      <c r="Z37" s="77" t="n"/>
      <c r="AA37" s="78" t="n"/>
      <c r="AB37" s="79" t="n"/>
      <c r="AC37" s="74" t="n"/>
      <c r="AD37" s="74" t="n"/>
      <c r="AE37" s="74" t="n"/>
      <c r="AF37" s="74" t="n"/>
      <c r="AG37" s="122">
        <f>IFERROR(AVERAGE(AA37:AF37),"")</f>
        <v/>
      </c>
      <c r="AH37" s="76">
        <f>IFERROR($F37*AG37,"")</f>
        <v/>
      </c>
      <c r="AI37" s="77" t="n"/>
      <c r="AJ37" s="77" t="n"/>
    </row>
    <row r="38" ht="76.5" customHeight="1">
      <c r="B38" s="78" t="inlineStr">
        <is>
          <t>T. 35</t>
        </is>
      </c>
      <c r="C38" s="52" t="inlineStr">
        <is>
          <t xml:space="preserve">Restore time </t>
        </is>
      </c>
      <c r="D38" s="52" t="inlineStr">
        <is>
          <t>Compare among three vendors for same set of POC machines</t>
        </is>
      </c>
      <c r="E38" s="3" t="inlineStr">
        <is>
          <t>Non-Functional</t>
        </is>
      </c>
      <c r="F38" s="2" t="n">
        <v>3</v>
      </c>
      <c r="G38" s="78" t="n">
        <v>3</v>
      </c>
      <c r="H38" s="79" t="n"/>
      <c r="I38" s="74" t="n"/>
      <c r="J38" s="74" t="n"/>
      <c r="K38" s="74" t="n">
        <v>3</v>
      </c>
      <c r="L38" s="74" t="n">
        <v>3</v>
      </c>
      <c r="M38" s="122">
        <f>IFERROR(AVERAGE($G38,$H38,$I38,$J38,$K38,$L38),"")</f>
        <v/>
      </c>
      <c r="N38" s="76">
        <f>IFERROR($F38*$M38,"")</f>
        <v/>
      </c>
      <c r="O38" s="81" t="inlineStr">
        <is>
          <t>AW:Backup time based on around 2.93 TB of 9 VMs
Nov 5 :job id 164676 is 2 hours 38 min 37 seconds
Nov 7 - 12 are having similar size and time 
Restore job (Restore as new) - 34.67GB of data for SGAZEULAP0029
Oct 28:Job ID 149564 is 23 min 18 seconds</t>
        </is>
      </c>
      <c r="P38" s="81" t="inlineStr">
        <is>
          <t>AW: It is hard to give comparision between the vendors but  will give a "3" for the fastest vendor and "2" for the second vendor</t>
        </is>
      </c>
      <c r="Q38" s="39" t="n">
        <v>2</v>
      </c>
      <c r="R38" s="79" t="n"/>
      <c r="S38" s="74" t="n"/>
      <c r="T38" s="74" t="n"/>
      <c r="U38" s="74" t="n">
        <v>2</v>
      </c>
      <c r="V38" s="74" t="n">
        <v>3</v>
      </c>
      <c r="W38" s="122">
        <f>IFERROR(AVERAGE(Q38:V38),"")</f>
        <v/>
      </c>
      <c r="X38" s="76">
        <f>IFERROR($F38*$W38,"")</f>
        <v/>
      </c>
      <c r="Y38" s="81" t="inlineStr">
        <is>
          <t>AW: there is not enough time to test 9 VM backup together before the closing of POC , there is no apple to apple comparision with commvault</t>
        </is>
      </c>
      <c r="Z38" s="81" t="n"/>
      <c r="AA38" s="78" t="n"/>
      <c r="AB38" s="79" t="n"/>
      <c r="AC38" s="74" t="n"/>
      <c r="AD38" s="74" t="n"/>
      <c r="AE38" s="74" t="n"/>
      <c r="AF38" s="74" t="n"/>
      <c r="AG38" s="122">
        <f>IFERROR(AVERAGE(AA38:AF38),"")</f>
        <v/>
      </c>
      <c r="AH38" s="76">
        <f>IFERROR($F38*AG38,"")</f>
        <v/>
      </c>
      <c r="AI38" s="81" t="n"/>
      <c r="AJ38" s="81" t="n"/>
    </row>
    <row r="39" ht="102" customHeight="1">
      <c r="B39" s="78" t="inlineStr">
        <is>
          <t>T. 36</t>
        </is>
      </c>
      <c r="C39" s="52" t="inlineStr">
        <is>
          <t>Ease of Deployment</t>
        </is>
      </c>
      <c r="D39" s="52" t="inlineStr">
        <is>
          <t>Comparison between three vendors</t>
        </is>
      </c>
      <c r="E39" s="3" t="inlineStr">
        <is>
          <t>Non-Functional</t>
        </is>
      </c>
      <c r="F39" s="2" t="n">
        <v>1</v>
      </c>
      <c r="G39" s="78" t="n">
        <v>3</v>
      </c>
      <c r="H39" s="79" t="n"/>
      <c r="I39" s="74" t="n"/>
      <c r="J39" s="74" t="n"/>
      <c r="K39" s="74" t="n">
        <v>2</v>
      </c>
      <c r="L39" s="74" t="n">
        <v>2</v>
      </c>
      <c r="M39" s="122">
        <f>IFERROR(AVERAGE($G39,$H39,$I39,$J39,$K39,$L39),"")</f>
        <v/>
      </c>
      <c r="N39" s="76">
        <f>IFERROR($F39*$M39,"")</f>
        <v/>
      </c>
      <c r="O39" s="81" t="inlineStr">
        <is>
          <t>AW:Commvault setup is easiest among the two vendors that are runing in AIA as they can start the backup test as soon as the corresponding premission were given 
ZS:Commvault need to perform certain tasks for example providing User Access Control which is done in the frontend but need to be configured in their backend</t>
        </is>
      </c>
      <c r="P39" s="77" t="inlineStr">
        <is>
          <t xml:space="preserve">AW: give them a "3" for this reason another vendor will give a "2" or "1" correspondingly </t>
        </is>
      </c>
      <c r="Q39" s="78" t="n">
        <v>2</v>
      </c>
      <c r="R39" s="79" t="n">
        <v>2</v>
      </c>
      <c r="S39" s="74" t="n"/>
      <c r="T39" s="74" t="n"/>
      <c r="U39" s="74" t="n">
        <v>2</v>
      </c>
      <c r="V39" s="74" t="n">
        <v>3</v>
      </c>
      <c r="W39" s="122">
        <f>IFERROR(AVERAGE(Q39:V39),"")</f>
        <v/>
      </c>
      <c r="X39" s="76">
        <f>IFERROR($F39*$W39,"")</f>
        <v/>
      </c>
      <c r="Y39" s="81" t="inlineStr">
        <is>
          <t>AW:Veeam has a differnet architecture and there are some components not able to setup as it requires global Administrator to work. A full setup will reuqire even more component to be deploy
ZS:Veeam has a better scalable architecture. However, some features thats available thru Veeam Backup Replication need to be made available in Veeam Backup for Azure especially on the reporting feature</t>
        </is>
      </c>
      <c r="Z39" s="77" t="n"/>
      <c r="AA39" s="78" t="n"/>
      <c r="AB39" s="79" t="n"/>
      <c r="AC39" s="74" t="n"/>
      <c r="AD39" s="74" t="n"/>
      <c r="AE39" s="74" t="n"/>
      <c r="AF39" s="74" t="n"/>
      <c r="AG39" s="122">
        <f>IFERROR(AVERAGE(AA39:AF39),"")</f>
        <v/>
      </c>
      <c r="AH39" s="76">
        <f>IFERROR($F39*AG39,"")</f>
        <v/>
      </c>
      <c r="AI39" s="81" t="n"/>
      <c r="AJ39" s="77" t="n"/>
    </row>
    <row r="40" hidden="1">
      <c r="B40" s="78" t="inlineStr">
        <is>
          <t>T. 37</t>
        </is>
      </c>
      <c r="C40" s="36" t="inlineStr">
        <is>
          <t>Agentless Backup for OS on Cloud</t>
        </is>
      </c>
      <c r="D40" s="36" t="inlineStr">
        <is>
          <t>Ability to backup OS's without the need of an Agent</t>
        </is>
      </c>
      <c r="E40" s="37" t="inlineStr">
        <is>
          <t>Functional</t>
        </is>
      </c>
      <c r="F40" s="2" t="n">
        <v>3</v>
      </c>
      <c r="G40" s="78" t="n"/>
      <c r="H40" s="79" t="n"/>
      <c r="I40" s="74" t="n"/>
      <c r="J40" s="74" t="n"/>
      <c r="K40" s="74" t="n"/>
      <c r="L40" s="74" t="n"/>
      <c r="M40" s="122">
        <f>IFERROR(AVERAGE($G40,$H40,$I40,$J40,$K40,$L40),"")</f>
        <v/>
      </c>
      <c r="N40" s="76">
        <f>IFERROR($F40*$M40,"")</f>
        <v/>
      </c>
      <c r="O40" s="77" t="n"/>
      <c r="P40" s="77" t="n"/>
      <c r="Q40" s="78" t="n"/>
      <c r="R40" s="79" t="n"/>
      <c r="S40" s="74" t="n"/>
      <c r="T40" s="74" t="n"/>
      <c r="U40" s="74" t="n"/>
      <c r="V40" s="74" t="n"/>
      <c r="W40" s="122">
        <f>IFERROR(AVERAGE(Q40:V40),"")</f>
        <v/>
      </c>
      <c r="X40" s="76">
        <f>IFERROR($F40*$W40,"")</f>
        <v/>
      </c>
      <c r="Y40" s="77" t="n"/>
      <c r="Z40" s="77" t="n"/>
      <c r="AA40" s="78" t="n"/>
      <c r="AB40" s="79" t="n"/>
      <c r="AC40" s="74" t="n"/>
      <c r="AD40" s="74" t="n"/>
      <c r="AE40" s="74" t="n"/>
      <c r="AF40" s="74" t="n"/>
      <c r="AG40" s="122">
        <f>IFERROR(AVERAGE(AA40:AF40),"")</f>
        <v/>
      </c>
      <c r="AH40" s="76">
        <f>IFERROR($F40*AG40,"")</f>
        <v/>
      </c>
      <c r="AI40" s="77" t="n"/>
      <c r="AJ40" s="77" t="n"/>
    </row>
    <row r="41" hidden="1">
      <c r="B41" s="78" t="inlineStr">
        <is>
          <t>T. 38</t>
        </is>
      </c>
      <c r="C41" s="36" t="inlineStr">
        <is>
          <t>Support SAML or any identity provider.</t>
        </is>
      </c>
      <c r="D41" s="36" t="inlineStr">
        <is>
          <t>To enumerate and use Okta identity to provide RBAC.</t>
        </is>
      </c>
      <c r="E41" s="37" t="inlineStr">
        <is>
          <t>Functional</t>
        </is>
      </c>
      <c r="F41" s="2" t="n">
        <v>3</v>
      </c>
      <c r="G41" s="78" t="n"/>
      <c r="H41" s="79" t="n"/>
      <c r="I41" s="74" t="n"/>
      <c r="J41" s="74" t="n"/>
      <c r="K41" s="74" t="n"/>
      <c r="L41" s="74" t="n"/>
      <c r="M41" s="122">
        <f>IFERROR(AVERAGE($G41,$H41,$I41,$J41,$K41,$L41),"")</f>
        <v/>
      </c>
      <c r="N41" s="76">
        <f>IFERROR($F41*$M41,"")</f>
        <v/>
      </c>
      <c r="O41" s="77" t="n"/>
      <c r="P41" s="77" t="n"/>
      <c r="Q41" s="78" t="n"/>
      <c r="R41" s="79" t="n"/>
      <c r="S41" s="74" t="n"/>
      <c r="T41" s="74" t="n"/>
      <c r="U41" s="74" t="n"/>
      <c r="V41" s="74" t="n"/>
      <c r="W41" s="122">
        <f>IFERROR(AVERAGE(Q41:V41),"")</f>
        <v/>
      </c>
      <c r="X41" s="76">
        <f>IFERROR($F41*$W41,"")</f>
        <v/>
      </c>
      <c r="Y41" s="77" t="n"/>
      <c r="Z41" s="77" t="n"/>
      <c r="AA41" s="78" t="n"/>
      <c r="AB41" s="79" t="n"/>
      <c r="AC41" s="74" t="n"/>
      <c r="AD41" s="74" t="n"/>
      <c r="AE41" s="74" t="n"/>
      <c r="AF41" s="74" t="n"/>
      <c r="AG41" s="122">
        <f>IFERROR(AVERAGE(AA41:AF41),"")</f>
        <v/>
      </c>
      <c r="AH41" s="76">
        <f>IFERROR($F41*AG41,"")</f>
        <v/>
      </c>
      <c r="AI41" s="77" t="n"/>
      <c r="AJ41" s="77" t="n"/>
    </row>
    <row r="42" ht="63.75" customHeight="1">
      <c r="B42" s="78" t="inlineStr">
        <is>
          <t>T. 39</t>
        </is>
      </c>
      <c r="C42" s="61" t="inlineStr">
        <is>
          <t>Backup / Restore PaaS Service - AKS</t>
        </is>
      </c>
      <c r="D42" s="62" t="inlineStr">
        <is>
          <t>Not core requirement no much impact</t>
        </is>
      </c>
      <c r="E42" s="3" t="inlineStr">
        <is>
          <t>Functional</t>
        </is>
      </c>
      <c r="F42" s="30" t="n">
        <v>1</v>
      </c>
      <c r="G42" s="78" t="n">
        <v>2</v>
      </c>
      <c r="H42" s="79" t="n"/>
      <c r="I42" s="74" t="n"/>
      <c r="J42" s="74" t="n"/>
      <c r="K42" s="74" t="n">
        <v>1</v>
      </c>
      <c r="L42" s="74" t="n">
        <v>1</v>
      </c>
      <c r="M42" s="122">
        <f>IFERROR(AVERAGE($G42,$H42,$I42,$J42,$K42,$L42),"")</f>
        <v/>
      </c>
      <c r="N42" s="76">
        <f>IFERROR($F42*$M42,"")</f>
        <v/>
      </c>
      <c r="O42" s="77" t="inlineStr">
        <is>
          <t>AW:Able to Test in AIA environment and backup some of the UAT clusters
ZS:Good feature to have but not a requirement in AIA since we are using Azure Container Registry as application can easily be redeploy again</t>
        </is>
      </c>
      <c r="P42" s="77" t="inlineStr">
        <is>
          <t>AW:As some UAT cluster are able to backup , will give a "2" , if another vendor did not able to test in POC envirnoment but can support , will give them a "2" as well</t>
        </is>
      </c>
      <c r="Q42" s="78" t="n">
        <v>1</v>
      </c>
      <c r="R42" s="79" t="n"/>
      <c r="S42" s="74" t="n"/>
      <c r="T42" s="74" t="n"/>
      <c r="U42" s="74" t="n">
        <v>1</v>
      </c>
      <c r="V42" s="74" t="n">
        <v>1</v>
      </c>
      <c r="W42" s="122">
        <f>IFERROR(AVERAGE(Q42:V42),"")</f>
        <v/>
      </c>
      <c r="X42" s="76">
        <f>IFERROR($F42*$W42,"")</f>
        <v/>
      </c>
      <c r="Y42" s="77" t="inlineStr">
        <is>
          <t>On roadmap onlly</t>
        </is>
      </c>
      <c r="Z42" s="77" t="n"/>
      <c r="AA42" s="78" t="n"/>
      <c r="AB42" s="79" t="n"/>
      <c r="AC42" s="74" t="n"/>
      <c r="AD42" s="74" t="n"/>
      <c r="AE42" s="74" t="n"/>
      <c r="AF42" s="74" t="n"/>
      <c r="AG42" s="122">
        <f>IFERROR(AVERAGE(AA42:AF42),"")</f>
        <v/>
      </c>
      <c r="AH42" s="76">
        <f>IFERROR($F42*AG42,"")</f>
        <v/>
      </c>
      <c r="AI42" s="77" t="n"/>
      <c r="AJ42" s="77" t="n"/>
    </row>
    <row r="43" ht="25.5" customHeight="1">
      <c r="B43" s="78" t="inlineStr">
        <is>
          <t>T. 40</t>
        </is>
      </c>
      <c r="C43" s="61" t="inlineStr">
        <is>
          <t>Backup / Restore PaaS Service - Azure Key Vault</t>
        </is>
      </c>
      <c r="D43" s="62" t="inlineStr">
        <is>
          <t>Not core requirement no much impact</t>
        </is>
      </c>
      <c r="E43" s="3" t="inlineStr">
        <is>
          <t>Functional</t>
        </is>
      </c>
      <c r="F43" s="30" t="n">
        <v>1</v>
      </c>
      <c r="G43" s="78" t="n">
        <v>2</v>
      </c>
      <c r="H43" s="79" t="n"/>
      <c r="I43" s="74" t="n"/>
      <c r="J43" s="74" t="n"/>
      <c r="K43" s="74" t="n">
        <v>1</v>
      </c>
      <c r="L43" s="74" t="n">
        <v>1</v>
      </c>
      <c r="M43" s="122">
        <f>IFERROR(AVERAGE($G43,$H43,$I43,$J43,$K43,$L43),"")</f>
        <v/>
      </c>
      <c r="N43" s="76">
        <f>IFERROR($F43*$M43,"")</f>
        <v/>
      </c>
      <c r="O43" s="77" t="inlineStr">
        <is>
          <t>AW:Support but not test in AIA enivonrment due to envnrionment contraint</t>
        </is>
      </c>
      <c r="P43" s="77" t="inlineStr">
        <is>
          <t>AW: give a 2 for those on the feature list</t>
        </is>
      </c>
      <c r="Q43" s="78" t="n">
        <v>1</v>
      </c>
      <c r="R43" s="79" t="n"/>
      <c r="S43" s="74" t="n"/>
      <c r="T43" s="74" t="n"/>
      <c r="U43" s="74" t="n">
        <v>1</v>
      </c>
      <c r="V43" s="74" t="n">
        <v>1</v>
      </c>
      <c r="W43" s="122">
        <f>IFERROR(AVERAGE(Q43:V43),"")</f>
        <v/>
      </c>
      <c r="X43" s="76">
        <f>IFERROR($F43*$W43,"")</f>
        <v/>
      </c>
      <c r="Y43" s="77" t="n"/>
      <c r="Z43" s="77" t="n"/>
      <c r="AA43" s="78" t="n"/>
      <c r="AB43" s="79" t="n"/>
      <c r="AC43" s="74" t="n"/>
      <c r="AD43" s="74" t="n"/>
      <c r="AE43" s="74" t="n"/>
      <c r="AF43" s="74" t="n"/>
      <c r="AG43" s="122">
        <f>IFERROR(AVERAGE(AA43:AF43),"")</f>
        <v/>
      </c>
      <c r="AH43" s="76">
        <f>IFERROR($F43*AG43,"")</f>
        <v/>
      </c>
      <c r="AI43" s="77" t="n"/>
      <c r="AJ43" s="77" t="n"/>
    </row>
    <row r="44" ht="63.75" customHeight="1">
      <c r="B44" s="78" t="inlineStr">
        <is>
          <t>T. 41</t>
        </is>
      </c>
      <c r="C44" s="61" t="inlineStr">
        <is>
          <t>Backup / Restore PaaS Service - Azure SQL</t>
        </is>
      </c>
      <c r="D44" s="62" t="inlineStr">
        <is>
          <t>Not core requirement no much impact</t>
        </is>
      </c>
      <c r="E44" s="3" t="inlineStr">
        <is>
          <t>Functional</t>
        </is>
      </c>
      <c r="F44" s="30" t="n">
        <v>1</v>
      </c>
      <c r="G44" s="78" t="n">
        <v>1</v>
      </c>
      <c r="H44" s="79" t="n"/>
      <c r="I44" s="74" t="n"/>
      <c r="J44" s="74" t="n"/>
      <c r="K44" s="74" t="n">
        <v>1</v>
      </c>
      <c r="L44" s="74" t="n">
        <v>1</v>
      </c>
      <c r="M44" s="122">
        <f>IFERROR(AVERAGE($G44,$H44,$I44,$J44,$K44,$L44),"")</f>
        <v/>
      </c>
      <c r="N44" s="76">
        <f>IFERROR($F44*$M44,"")</f>
        <v/>
      </c>
      <c r="O44" s="77" t="inlineStr">
        <is>
          <t>AW:Give them a "1" because it is in Roadmap only</t>
        </is>
      </c>
      <c r="P44" s="77" t="inlineStr">
        <is>
          <t>AW: give a 2 for those on the feature list , "1" for those in Roadmap</t>
        </is>
      </c>
      <c r="Q44" s="78" t="n">
        <v>2</v>
      </c>
      <c r="R44" s="79" t="n"/>
      <c r="S44" s="74" t="n"/>
      <c r="T44" s="74" t="n"/>
      <c r="U44" s="74" t="n">
        <v>1</v>
      </c>
      <c r="V44" s="74" t="n">
        <v>3</v>
      </c>
      <c r="W44" s="122">
        <f>IFERROR(AVERAGE(Q44:V44),"")</f>
        <v/>
      </c>
      <c r="X44" s="76">
        <f>IFERROR($F44*$W44,"")</f>
        <v/>
      </c>
      <c r="Y44" s="77" t="inlineStr">
        <is>
          <t>AW:Azure SQL supported and works on their Demo environment
ZS:Azure SQL supported using either Production or Staging server which is required to work in AIA POC environment</t>
        </is>
      </c>
      <c r="Z44" s="77" t="n"/>
      <c r="AA44" s="78" t="n"/>
      <c r="AB44" s="79" t="n"/>
      <c r="AC44" s="74" t="n"/>
      <c r="AD44" s="74" t="n"/>
      <c r="AE44" s="74" t="n"/>
      <c r="AF44" s="74" t="n"/>
      <c r="AG44" s="122">
        <f>IFERROR(AVERAGE(AA44:AF44),"")</f>
        <v/>
      </c>
      <c r="AH44" s="76">
        <f>IFERROR($F44*AG44,"")</f>
        <v/>
      </c>
      <c r="AI44" s="77" t="n"/>
      <c r="AJ44" s="77" t="n"/>
    </row>
    <row r="45" ht="25.5" customHeight="1">
      <c r="B45" s="78" t="inlineStr">
        <is>
          <t>T. 42</t>
        </is>
      </c>
      <c r="C45" s="52" t="inlineStr">
        <is>
          <t>Backup / Restore Azure Storage Account</t>
        </is>
      </c>
      <c r="D45" s="62" t="inlineStr">
        <is>
          <t>Not core requirement no much impact</t>
        </is>
      </c>
      <c r="E45" s="3" t="inlineStr">
        <is>
          <t>Functional</t>
        </is>
      </c>
      <c r="F45" s="30" t="n">
        <v>1</v>
      </c>
      <c r="G45" s="78" t="n">
        <v>2</v>
      </c>
      <c r="H45" s="79" t="n"/>
      <c r="I45" s="74" t="n"/>
      <c r="J45" s="74" t="n"/>
      <c r="K45" s="74" t="n">
        <v>1</v>
      </c>
      <c r="L45" s="74" t="n">
        <v>1</v>
      </c>
      <c r="M45" s="122">
        <f>IFERROR(AVERAGE($G45,$H45,$I45,$J45,$K45,$L45),"")</f>
        <v/>
      </c>
      <c r="N45" s="76">
        <f>IFERROR($F45*$M45,"")</f>
        <v/>
      </c>
      <c r="O45" s="77" t="inlineStr">
        <is>
          <t>AW:Support but not test in AIA enivonrment due to envnrionment contraint</t>
        </is>
      </c>
      <c r="P45" s="77" t="inlineStr">
        <is>
          <t>AW: give a 2 for those on the feature list</t>
        </is>
      </c>
      <c r="Q45" s="78" t="n">
        <v>1</v>
      </c>
      <c r="R45" s="79" t="n"/>
      <c r="S45" s="74" t="n"/>
      <c r="T45" s="74" t="n"/>
      <c r="U45" s="74" t="n">
        <v>1</v>
      </c>
      <c r="V45" s="74" t="n">
        <v>1</v>
      </c>
      <c r="W45" s="122">
        <f>IFERROR(AVERAGE(Q45:V45),"")</f>
        <v/>
      </c>
      <c r="X45" s="76">
        <f>IFERROR($F45*$W45,"")</f>
        <v/>
      </c>
      <c r="Y45" s="77" t="n"/>
      <c r="Z45" s="77" t="n"/>
      <c r="AA45" s="78" t="n"/>
      <c r="AB45" s="79" t="n"/>
      <c r="AC45" s="74" t="n"/>
      <c r="AD45" s="74" t="n"/>
      <c r="AE45" s="74" t="n"/>
      <c r="AF45" s="74" t="n"/>
      <c r="AG45" s="122">
        <f>IFERROR(AVERAGE(AA45:AF45),"")</f>
        <v/>
      </c>
      <c r="AH45" s="76">
        <f>IFERROR($F45*AG45,"")</f>
        <v/>
      </c>
      <c r="AI45" s="77" t="n"/>
      <c r="AJ45" s="77" t="n"/>
    </row>
    <row r="46">
      <c r="B46" s="78" t="inlineStr">
        <is>
          <t>T. 43</t>
        </is>
      </c>
      <c r="C46" s="52" t="inlineStr">
        <is>
          <t>Backup/restore frequency</t>
        </is>
      </c>
      <c r="D46" s="52" t="inlineStr">
        <is>
          <t>Define 2 weeks full cycle for backup report</t>
        </is>
      </c>
      <c r="E46" s="3" t="inlineStr">
        <is>
          <t>Functional</t>
        </is>
      </c>
      <c r="F46" s="30" t="n">
        <v>1</v>
      </c>
      <c r="G46" s="78" t="n">
        <v>3</v>
      </c>
      <c r="H46" s="79" t="n"/>
      <c r="I46" s="74" t="n"/>
      <c r="J46" s="74" t="n"/>
      <c r="K46" s="74" t="n">
        <v>1</v>
      </c>
      <c r="L46" s="74" t="n">
        <v>1</v>
      </c>
      <c r="M46" s="122">
        <f>IFERROR(AVERAGE($G46,$H46,$I46,$J46,$K46,$L46),"")</f>
        <v/>
      </c>
      <c r="N46" s="76">
        <f>IFERROR($F46*$M46,"")</f>
        <v/>
      </c>
      <c r="O46" s="77" t="n"/>
      <c r="P46" s="77" t="n"/>
      <c r="Q46" s="78" t="n">
        <v>3</v>
      </c>
      <c r="R46" s="79" t="n"/>
      <c r="S46" s="74" t="n"/>
      <c r="T46" s="74" t="n"/>
      <c r="U46" s="74" t="n">
        <v>1</v>
      </c>
      <c r="V46" s="74" t="n">
        <v>3</v>
      </c>
      <c r="W46" s="122">
        <f>IFERROR(AVERAGE(Q46:V46),"")</f>
        <v/>
      </c>
      <c r="X46" s="76">
        <f>IFERROR($F46*$W46,"")</f>
        <v/>
      </c>
      <c r="Y46" s="77" t="n"/>
      <c r="Z46" s="77" t="n"/>
      <c r="AA46" s="78" t="n"/>
      <c r="AB46" s="79" t="n"/>
      <c r="AC46" s="74" t="n"/>
      <c r="AD46" s="74" t="n"/>
      <c r="AE46" s="74" t="n"/>
      <c r="AF46" s="74" t="n"/>
      <c r="AG46" s="122">
        <f>IFERROR(AVERAGE(AA46:AF46),"")</f>
        <v/>
      </c>
      <c r="AH46" s="76">
        <f>IFERROR($F46*AG46,"")</f>
        <v/>
      </c>
      <c r="AI46" s="77" t="n"/>
      <c r="AJ46" s="77" t="n"/>
    </row>
    <row r="47">
      <c r="B47" s="78" t="inlineStr">
        <is>
          <t>T. 44</t>
        </is>
      </c>
      <c r="C47" s="52" t="inlineStr">
        <is>
          <t>Email Alerts</t>
        </is>
      </c>
      <c r="D47" s="52" t="inlineStr">
        <is>
          <t>able to send alerts</t>
        </is>
      </c>
      <c r="E47" s="3" t="inlineStr">
        <is>
          <t>Non-Functional</t>
        </is>
      </c>
      <c r="F47" s="30" t="n">
        <v>1</v>
      </c>
      <c r="G47" s="78" t="n">
        <v>3</v>
      </c>
      <c r="H47" s="79" t="n"/>
      <c r="I47" s="74" t="n"/>
      <c r="J47" s="74" t="n"/>
      <c r="K47" s="74" t="n">
        <v>3</v>
      </c>
      <c r="L47" s="74" t="n">
        <v>3</v>
      </c>
      <c r="M47" s="122">
        <f>IFERROR(AVERAGE($G47,$H47,$I47,$J47,$K47,$L47),"")</f>
        <v/>
      </c>
      <c r="N47" s="76">
        <f>IFERROR($F47*$M47,"")</f>
        <v/>
      </c>
      <c r="O47" s="77" t="inlineStr">
        <is>
          <t>AW:Tested in POC with success</t>
        </is>
      </c>
      <c r="P47" s="77" t="n"/>
      <c r="Q47" s="78" t="n">
        <v>3</v>
      </c>
      <c r="R47" s="79" t="n">
        <v>3</v>
      </c>
      <c r="S47" s="74" t="n"/>
      <c r="T47" s="74" t="n"/>
      <c r="U47" s="74" t="n">
        <v>3</v>
      </c>
      <c r="V47" s="74" t="n">
        <v>3</v>
      </c>
      <c r="W47" s="122">
        <f>IFERROR(AVERAGE(Q47:V47),"")</f>
        <v/>
      </c>
      <c r="X47" s="76">
        <f>IFERROR($F47*$W47,"")</f>
        <v/>
      </c>
      <c r="Y47" s="77" t="n"/>
      <c r="Z47" s="77" t="n"/>
      <c r="AA47" s="78" t="n"/>
      <c r="AB47" s="79" t="n"/>
      <c r="AC47" s="74" t="n"/>
      <c r="AD47" s="74" t="n"/>
      <c r="AE47" s="74" t="n"/>
      <c r="AF47" s="74" t="n"/>
      <c r="AG47" s="122">
        <f>IFERROR(AVERAGE(AA47:AF47),"")</f>
        <v/>
      </c>
      <c r="AH47" s="76">
        <f>IFERROR($F47*AG47,"")</f>
        <v/>
      </c>
      <c r="AI47" s="77" t="n"/>
      <c r="AJ47" s="77" t="n"/>
    </row>
    <row r="48" ht="51" customHeight="1">
      <c r="B48" s="78" t="inlineStr">
        <is>
          <t>T. 45</t>
        </is>
      </c>
      <c r="C48" s="61" t="inlineStr">
        <is>
          <t>Pirmary Copy restore test</t>
        </is>
      </c>
      <c r="D48" s="62" t="inlineStr">
        <is>
          <t>Primary copy restore to primary site , primary copy restore to secondary site</t>
        </is>
      </c>
      <c r="E48" s="3" t="inlineStr">
        <is>
          <t>Functional</t>
        </is>
      </c>
      <c r="F48" s="30" t="n">
        <v>3</v>
      </c>
      <c r="G48" s="78" t="n">
        <v>3</v>
      </c>
      <c r="H48" s="79" t="n">
        <v>3</v>
      </c>
      <c r="I48" s="74" t="n">
        <v>3</v>
      </c>
      <c r="J48" s="74" t="n"/>
      <c r="K48" s="74" t="n">
        <v>3</v>
      </c>
      <c r="L48" s="74" t="n">
        <v>3</v>
      </c>
      <c r="M48" s="122">
        <f>IFERROR(AVERAGE($G48,$I48,$J48,$K48,$L48),"")</f>
        <v/>
      </c>
      <c r="N48" s="76">
        <f>IFERROR($F48*$M48,"")</f>
        <v/>
      </c>
      <c r="O48" s="77" t="inlineStr">
        <is>
          <t>AW:Tested in POC with success</t>
        </is>
      </c>
      <c r="P48" s="77" t="n"/>
      <c r="Q48" s="78" t="n">
        <v>1</v>
      </c>
      <c r="R48" s="79" t="n">
        <v>2</v>
      </c>
      <c r="S48" s="74" t="n">
        <v>1</v>
      </c>
      <c r="T48" s="74" t="n"/>
      <c r="U48" s="74" t="n">
        <v>2</v>
      </c>
      <c r="V48" s="74" t="n">
        <v>2</v>
      </c>
      <c r="W48" s="122">
        <f>IFERROR(AVERAGE(Q48:V48),"")</f>
        <v/>
      </c>
      <c r="X48" s="76">
        <f>IFERROR($F48*$W48,"")</f>
        <v/>
      </c>
      <c r="Y48" s="77" t="inlineStr">
        <is>
          <t xml:space="preserve">AW: Veeam is able to provide demo in their own environment as this test is not able to perform in AIA POC environment due to setup contraint in AIA : Require Global Administrator to work </t>
        </is>
      </c>
      <c r="Z48" s="77" t="inlineStr">
        <is>
          <t>SM: Veeam completed the demo of primary copy restore to 2ndary site in their environement, were unable to complete the deo in AIA environment due to resource setup constrain</t>
        </is>
      </c>
      <c r="AA48" s="78" t="n"/>
      <c r="AB48" s="79" t="n"/>
      <c r="AC48" s="74" t="n"/>
      <c r="AD48" s="74" t="n"/>
      <c r="AE48" s="74" t="n"/>
      <c r="AF48" s="74" t="n"/>
      <c r="AG48" s="122">
        <f>IFERROR(AVERAGE(AA48:AF48),"")</f>
        <v/>
      </c>
      <c r="AH48" s="76">
        <f>IFERROR($F48*AG48,"")</f>
        <v/>
      </c>
      <c r="AI48" s="77" t="n"/>
      <c r="AJ48" s="77" t="n"/>
    </row>
    <row r="49" ht="51" customHeight="1">
      <c r="B49" s="78" t="inlineStr">
        <is>
          <t>T. 46</t>
        </is>
      </c>
      <c r="C49" s="61" t="inlineStr">
        <is>
          <t>Second Copy restore test</t>
        </is>
      </c>
      <c r="D49" s="62" t="inlineStr">
        <is>
          <t>Second copy restore to secondary site , secondary copy restore to primary site</t>
        </is>
      </c>
      <c r="E49" s="3" t="inlineStr">
        <is>
          <t>Functional</t>
        </is>
      </c>
      <c r="F49" s="30" t="n">
        <v>3</v>
      </c>
      <c r="G49" s="78" t="n">
        <v>3</v>
      </c>
      <c r="H49" s="79" t="n">
        <v>3</v>
      </c>
      <c r="I49" s="74" t="n">
        <v>3</v>
      </c>
      <c r="J49" s="74" t="n"/>
      <c r="K49" s="74" t="n">
        <v>3</v>
      </c>
      <c r="L49" s="74" t="n">
        <v>3</v>
      </c>
      <c r="M49" s="122">
        <f>IFERROR(AVERAGE($G49,$I49,$J49,$K49,$L49),"")</f>
        <v/>
      </c>
      <c r="N49" s="76">
        <f>IFERROR($F49*$M49,"")</f>
        <v/>
      </c>
      <c r="O49" s="77" t="inlineStr">
        <is>
          <t>AW:Tested in POC with success</t>
        </is>
      </c>
      <c r="P49" s="77" t="n"/>
      <c r="Q49" s="78" t="n">
        <v>1</v>
      </c>
      <c r="R49" s="79" t="n">
        <v>2</v>
      </c>
      <c r="S49" s="74" t="n">
        <v>1</v>
      </c>
      <c r="T49" s="74" t="n"/>
      <c r="U49" s="74" t="n">
        <v>2</v>
      </c>
      <c r="V49" s="74" t="n">
        <v>2</v>
      </c>
      <c r="W49" s="122">
        <f>IFERROR(AVERAGE(Q49:V49),"")</f>
        <v/>
      </c>
      <c r="X49" s="76">
        <f>IFERROR($F49*$W49,"")</f>
        <v/>
      </c>
      <c r="Y49" s="77" t="inlineStr">
        <is>
          <t xml:space="preserve">AW: Veeam is able to provide demo in their own environment as this test is not able to perform in AIA POC environment due to setup contraint in AIA : Require Global Administrator to work </t>
        </is>
      </c>
      <c r="Z49" s="77" t="inlineStr">
        <is>
          <t>SM: Veeam completed the demo of 2ndary copy to primary copy in their environement, were unable to complete the deo in AIA environment due to resource setup constrain</t>
        </is>
      </c>
      <c r="AA49" s="78" t="n"/>
      <c r="AB49" s="79" t="n"/>
      <c r="AC49" s="74" t="n"/>
      <c r="AD49" s="74" t="n"/>
      <c r="AE49" s="74" t="n"/>
      <c r="AF49" s="74" t="n"/>
      <c r="AG49" s="122">
        <f>IFERROR(AVERAGE(AA49:AF49),"")</f>
        <v/>
      </c>
      <c r="AH49" s="76">
        <f>IFERROR($F49*AG49,"")</f>
        <v/>
      </c>
      <c r="AI49" s="77" t="n"/>
      <c r="AJ49" s="77" t="n"/>
    </row>
    <row r="50" ht="51" customHeight="1">
      <c r="B50" s="78" t="inlineStr">
        <is>
          <t>T. 47</t>
        </is>
      </c>
      <c r="C50" s="61" t="inlineStr">
        <is>
          <t>HA test</t>
        </is>
      </c>
      <c r="D50" s="62" t="inlineStr">
        <is>
          <t>High availability test in primary Site</t>
        </is>
      </c>
      <c r="E50" s="3" t="inlineStr">
        <is>
          <t>Functional</t>
        </is>
      </c>
      <c r="F50" s="30" t="n">
        <v>3</v>
      </c>
      <c r="G50" s="78" t="n">
        <v>3</v>
      </c>
      <c r="H50" s="79" t="n">
        <v>3</v>
      </c>
      <c r="I50" s="74" t="n">
        <v>3</v>
      </c>
      <c r="J50" s="74" t="n"/>
      <c r="K50" s="74" t="n">
        <v>3</v>
      </c>
      <c r="L50" s="74" t="n">
        <v>3</v>
      </c>
      <c r="M50" s="122">
        <f>IFERROR(AVERAGE($G50,$I50,$J50,$K50,$L50),"")</f>
        <v/>
      </c>
      <c r="N50" s="76">
        <f>IFERROR($F50*$M50,"")</f>
        <v/>
      </c>
      <c r="O50" s="77" t="inlineStr">
        <is>
          <t>AW:Tested in POC with success</t>
        </is>
      </c>
      <c r="P50" s="77" t="n"/>
      <c r="Q50" s="78" t="n">
        <v>1</v>
      </c>
      <c r="R50" s="79" t="n">
        <v>2</v>
      </c>
      <c r="S50" s="74" t="n">
        <v>1</v>
      </c>
      <c r="T50" s="74" t="n"/>
      <c r="U50" s="74" t="n">
        <v>2</v>
      </c>
      <c r="V50" s="74" t="n">
        <v>2</v>
      </c>
      <c r="W50" s="122">
        <f>IFERROR(AVERAGE(Q50:V50),"")</f>
        <v/>
      </c>
      <c r="X50" s="76">
        <f>IFERROR($F50*$W50,"")</f>
        <v/>
      </c>
      <c r="Y50" s="77" t="inlineStr">
        <is>
          <t xml:space="preserve">AW: Veeam is able to provide demo in their own environment as this test is not able to perform in AIA POC environment due to setup contraint in AIA : Require Global Administrator to work </t>
        </is>
      </c>
      <c r="Z50" s="77" t="inlineStr">
        <is>
          <t>SM: Completed Both HA &amp; DR Test in their enviornment . No test was performed in AIA environement hence its rated as 1</t>
        </is>
      </c>
      <c r="AA50" s="78" t="n"/>
      <c r="AB50" s="79" t="n"/>
      <c r="AC50" s="74" t="n"/>
      <c r="AD50" s="74" t="n"/>
      <c r="AE50" s="74" t="n"/>
      <c r="AF50" s="74" t="n"/>
      <c r="AG50" s="122">
        <f>IFERROR(AVERAGE(AA50:AF50),"")</f>
        <v/>
      </c>
      <c r="AH50" s="76">
        <f>IFERROR($F50*AG50,"")</f>
        <v/>
      </c>
      <c r="AI50" s="77" t="n"/>
      <c r="AJ50" s="77" t="n"/>
    </row>
    <row r="51" ht="51" customHeight="1">
      <c r="B51" s="78" t="inlineStr">
        <is>
          <t>T. 48</t>
        </is>
      </c>
      <c r="C51" s="61" t="inlineStr">
        <is>
          <t>DR test</t>
        </is>
      </c>
      <c r="D51" s="62" t="inlineStr">
        <is>
          <t>High availability test in secondary site</t>
        </is>
      </c>
      <c r="E51" s="3" t="inlineStr">
        <is>
          <t>Functional</t>
        </is>
      </c>
      <c r="F51" s="30" t="n">
        <v>3</v>
      </c>
      <c r="G51" s="78" t="n">
        <v>3</v>
      </c>
      <c r="H51" s="79" t="n">
        <v>3</v>
      </c>
      <c r="I51" s="74" t="n">
        <v>3</v>
      </c>
      <c r="J51" s="74" t="n"/>
      <c r="K51" s="74" t="n">
        <v>3</v>
      </c>
      <c r="L51" s="74" t="n">
        <v>3</v>
      </c>
      <c r="M51" s="122">
        <f>IFERROR(AVERAGE($G51,$I51,$J51,$K51,$L51),"")</f>
        <v/>
      </c>
      <c r="N51" s="76">
        <f>IFERROR($F51*$M51,"")</f>
        <v/>
      </c>
      <c r="O51" s="77" t="inlineStr">
        <is>
          <t>AW:Tested in POC with success</t>
        </is>
      </c>
      <c r="P51" s="77" t="n"/>
      <c r="Q51" s="78" t="n">
        <v>1</v>
      </c>
      <c r="R51" s="79" t="n">
        <v>2</v>
      </c>
      <c r="S51" s="74" t="n">
        <v>1</v>
      </c>
      <c r="T51" s="74" t="n"/>
      <c r="U51" s="74" t="n">
        <v>2</v>
      </c>
      <c r="V51" s="74" t="n">
        <v>2</v>
      </c>
      <c r="W51" s="122">
        <f>IFERROR(AVERAGE(Q51:V51),"")</f>
        <v/>
      </c>
      <c r="X51" s="76">
        <f>IFERROR($F51*$W51,"")</f>
        <v/>
      </c>
      <c r="Y51" s="77" t="inlineStr">
        <is>
          <t xml:space="preserve">AW: Veeam is able to provide demo in their own environment as this test is not able to perform in AIA POC environment due to setup contraint in AIA : Require Global Administrator to work </t>
        </is>
      </c>
      <c r="Z51" s="77" t="inlineStr">
        <is>
          <t>SM: Completed Both HA &amp; DR Test in their enviornment . No test was performed in AIA environement hence its rated as 1</t>
        </is>
      </c>
      <c r="AA51" s="78" t="n"/>
      <c r="AB51" s="79" t="n"/>
      <c r="AC51" s="74" t="n"/>
      <c r="AD51" s="74" t="n"/>
      <c r="AE51" s="74" t="n"/>
      <c r="AF51" s="74" t="n"/>
      <c r="AG51" s="122">
        <f>IFERROR(AVERAGE(AA51:AF51),"")</f>
        <v/>
      </c>
      <c r="AH51" s="76">
        <f>IFERROR($F51*AG51,"")</f>
        <v/>
      </c>
      <c r="AI51" s="77" t="n"/>
      <c r="AJ51" s="77" t="n"/>
    </row>
    <row r="52" ht="26.45" customHeight="1">
      <c r="B52" s="78" t="inlineStr">
        <is>
          <t>T. 49</t>
        </is>
      </c>
      <c r="C52" s="61">
        <f>IFERROR('01_Key Requirements &amp; Use Cases'!$C39,"")</f>
        <v/>
      </c>
      <c r="D52" s="62">
        <f>IFERROR('01_Key Requirements &amp; Use Cases'!$D39,"")</f>
        <v/>
      </c>
      <c r="E52" s="82" t="n"/>
      <c r="F52" s="30" t="n"/>
      <c r="G52" s="110" t="inlineStr">
        <is>
          <t xml:space="preserve">Total Score </t>
        </is>
      </c>
      <c r="H52" s="111" t="n"/>
      <c r="I52" s="111" t="n"/>
      <c r="J52" s="111" t="n"/>
      <c r="K52" s="111" t="n"/>
      <c r="L52" s="111" t="n"/>
      <c r="M52" s="112" t="n"/>
      <c r="N52" s="35">
        <f>SUM(N4:N51)</f>
        <v/>
      </c>
      <c r="O52" s="83" t="n"/>
      <c r="Q52" s="110" t="inlineStr">
        <is>
          <t xml:space="preserve">Total Score </t>
        </is>
      </c>
      <c r="R52" s="111" t="n"/>
      <c r="S52" s="111" t="n"/>
      <c r="T52" s="111" t="n"/>
      <c r="U52" s="111" t="n"/>
      <c r="V52" s="111" t="n"/>
      <c r="W52" s="112" t="n"/>
      <c r="X52" s="35">
        <f>SUM(X4:X51)</f>
        <v/>
      </c>
      <c r="Y52" s="38" t="n"/>
      <c r="Z52" s="77" t="n"/>
      <c r="AA52" s="110" t="inlineStr">
        <is>
          <t xml:space="preserve">Total Score </t>
        </is>
      </c>
      <c r="AB52" s="111" t="n"/>
      <c r="AC52" s="111" t="n"/>
      <c r="AD52" s="111" t="n"/>
      <c r="AE52" s="111" t="n"/>
      <c r="AF52" s="111" t="n"/>
      <c r="AG52" s="112" t="n"/>
      <c r="AH52" s="35">
        <f>SUM(AH4:AH51)</f>
        <v/>
      </c>
      <c r="AI52" s="83" t="n"/>
      <c r="AJ52" s="77" t="n"/>
    </row>
    <row r="53">
      <c r="B53" s="78" t="inlineStr">
        <is>
          <t>T. 50</t>
        </is>
      </c>
      <c r="C53" s="61">
        <f>IFERROR('01_Key Requirements &amp; Use Cases'!$C40,"")</f>
        <v/>
      </c>
      <c r="D53" s="62">
        <f>IFERROR('01_Key Requirements &amp; Use Cases'!$D40,"")</f>
        <v/>
      </c>
      <c r="E53" s="82" t="n"/>
      <c r="F53" s="30" t="n"/>
      <c r="G53" s="78" t="n"/>
      <c r="H53" s="79" t="n"/>
      <c r="I53" s="74" t="n"/>
      <c r="J53" s="74" t="n"/>
      <c r="K53" s="74" t="n"/>
      <c r="L53" s="74" t="n"/>
      <c r="M53" s="76">
        <f>IFERROR(AVERAGE($G53,$I53,$J53,$K53,$L53),"")</f>
        <v/>
      </c>
      <c r="N53" s="76">
        <f>IFERROR($F53*$M53,"")</f>
        <v/>
      </c>
      <c r="O53" s="83" t="n"/>
      <c r="P53" s="77" t="n"/>
      <c r="Q53" s="67" t="n"/>
      <c r="R53" s="67" t="n"/>
      <c r="S53" s="67" t="n"/>
      <c r="T53" s="67" t="n"/>
      <c r="U53" s="67" t="n"/>
      <c r="V53" s="84">
        <f>IFERROR(AVERAGE($Q53,$R53,$S53,$T53,$U53),"")</f>
        <v/>
      </c>
      <c r="W53" s="122" t="n"/>
      <c r="X53" s="83" t="n"/>
      <c r="Y53" s="65" t="n"/>
      <c r="Z53" s="67" t="n"/>
      <c r="AA53" s="67" t="n"/>
      <c r="AB53" s="67" t="n"/>
      <c r="AC53" s="67" t="n"/>
      <c r="AD53" s="67" t="n"/>
      <c r="AE53" s="84">
        <f>IFERROR(AVERAGE($Z53,$AA53,$AB53,$AC53,$AD53),"")</f>
        <v/>
      </c>
      <c r="AF53" s="84">
        <f>IFERROR($F53*$AE53,"")</f>
        <v/>
      </c>
      <c r="AG53" s="83" t="n"/>
      <c r="AH53" s="65" t="n"/>
    </row>
    <row r="54">
      <c r="B54" s="78" t="inlineStr">
        <is>
          <t>T. 51</t>
        </is>
      </c>
      <c r="C54" s="61">
        <f>IFERROR('01_Key Requirements &amp; Use Cases'!$C41,"")</f>
        <v/>
      </c>
      <c r="D54" s="62">
        <f>IFERROR('01_Key Requirements &amp; Use Cases'!$D41,"")</f>
        <v/>
      </c>
      <c r="E54" s="82" t="n"/>
      <c r="F54" s="30" t="n"/>
      <c r="G54" s="78" t="n"/>
      <c r="H54" s="79" t="n"/>
      <c r="I54" s="74" t="n"/>
      <c r="J54" s="74" t="n"/>
      <c r="K54" s="74" t="n"/>
      <c r="L54" s="74" t="n"/>
      <c r="M54" s="76">
        <f>IFERROR(AVERAGE($G54,$I54,$J54,$K54,$L54),"")</f>
        <v/>
      </c>
      <c r="N54" s="76">
        <f>IFERROR($F54*$M54,"")</f>
        <v/>
      </c>
      <c r="O54" s="83" t="n"/>
      <c r="P54" s="77" t="n"/>
      <c r="Q54" s="67" t="n"/>
      <c r="R54" s="67" t="n"/>
      <c r="S54" s="67" t="n"/>
      <c r="T54" s="67" t="n"/>
      <c r="U54" s="67" t="n"/>
      <c r="V54" s="84">
        <f>IFERROR(AVERAGE($Q54,$R54,$S54,$T54,$U54),"")</f>
        <v/>
      </c>
      <c r="W54" s="122" t="n"/>
      <c r="X54" s="83" t="n"/>
      <c r="Y54" s="65" t="n"/>
      <c r="Z54" s="67" t="n"/>
      <c r="AA54" s="67" t="n"/>
      <c r="AB54" s="67" t="n"/>
      <c r="AC54" s="67" t="n"/>
      <c r="AD54" s="67" t="n"/>
      <c r="AE54" s="84">
        <f>IFERROR(AVERAGE($Z54,$AA54,$AB54,$AC54,$AD54),"")</f>
        <v/>
      </c>
      <c r="AF54" s="84">
        <f>IFERROR($F54*$AE54,"")</f>
        <v/>
      </c>
      <c r="AG54" s="83" t="n"/>
      <c r="AH54" s="65" t="n"/>
    </row>
    <row r="55">
      <c r="B55" s="78" t="inlineStr">
        <is>
          <t>T. 52</t>
        </is>
      </c>
      <c r="C55" s="61">
        <f>IFERROR('01_Key Requirements &amp; Use Cases'!$C42,"")</f>
        <v/>
      </c>
      <c r="D55" s="62">
        <f>IFERROR('01_Key Requirements &amp; Use Cases'!$D42,"")</f>
        <v/>
      </c>
      <c r="E55" s="82" t="n"/>
      <c r="F55" s="30" t="n"/>
      <c r="G55" s="78" t="n"/>
      <c r="H55" s="79" t="n"/>
      <c r="I55" s="74" t="n"/>
      <c r="J55" s="74" t="n"/>
      <c r="K55" s="74" t="n"/>
      <c r="L55" s="74" t="n"/>
      <c r="M55" s="76">
        <f>IFERROR(AVERAGE($G55,$I55,$J55,$K55,$L55),"")</f>
        <v/>
      </c>
      <c r="N55" s="76">
        <f>IFERROR($F55*$M55,"")</f>
        <v/>
      </c>
      <c r="O55" s="83" t="n"/>
      <c r="P55" s="77" t="n"/>
      <c r="Q55" s="67" t="n"/>
      <c r="R55" s="67" t="n"/>
      <c r="S55" s="67" t="n"/>
      <c r="T55" s="67" t="n"/>
      <c r="U55" s="67" t="n"/>
      <c r="V55" s="84">
        <f>IFERROR(AVERAGE($Q55,$R55,$S55,$T55,$U55),"")</f>
        <v/>
      </c>
      <c r="W55" s="122" t="n"/>
      <c r="X55" s="83" t="n"/>
      <c r="Y55" s="65" t="n"/>
      <c r="Z55" s="67" t="n"/>
      <c r="AA55" s="67" t="n"/>
      <c r="AB55" s="67" t="n"/>
      <c r="AC55" s="67" t="n"/>
      <c r="AD55" s="67" t="n"/>
      <c r="AE55" s="84">
        <f>IFERROR(AVERAGE($Z55,$AA55,$AB55,$AC55,$AD55),"")</f>
        <v/>
      </c>
      <c r="AF55" s="84">
        <f>IFERROR($F55*$AE55,"")</f>
        <v/>
      </c>
      <c r="AG55" s="83" t="n"/>
      <c r="AH55" s="65" t="n"/>
    </row>
    <row r="56">
      <c r="B56" s="78" t="inlineStr">
        <is>
          <t>T. 53</t>
        </is>
      </c>
      <c r="C56" s="61">
        <f>IFERROR('01_Key Requirements &amp; Use Cases'!$C43,"")</f>
        <v/>
      </c>
      <c r="D56" s="62">
        <f>IFERROR('01_Key Requirements &amp; Use Cases'!$D43,"")</f>
        <v/>
      </c>
      <c r="E56" s="82" t="n"/>
      <c r="F56" s="30" t="n"/>
      <c r="G56" s="78" t="n"/>
      <c r="H56" s="79" t="n"/>
      <c r="I56" s="74" t="n"/>
      <c r="J56" s="74" t="n"/>
      <c r="K56" s="74" t="n"/>
      <c r="L56" s="74" t="n"/>
      <c r="M56" s="76">
        <f>IFERROR(AVERAGE($G56,$I56,$J56,$K56,$L56),"")</f>
        <v/>
      </c>
      <c r="N56" s="76">
        <f>IFERROR($F56*$M56,"")</f>
        <v/>
      </c>
      <c r="O56" s="83" t="n"/>
      <c r="P56" s="77" t="n"/>
      <c r="Q56" s="67" t="n"/>
      <c r="R56" s="67" t="n"/>
      <c r="S56" s="67" t="n"/>
      <c r="T56" s="67" t="n"/>
      <c r="U56" s="67" t="n"/>
      <c r="V56" s="84">
        <f>IFERROR(AVERAGE($Q56,$R56,$S56,$T56,$U56),"")</f>
        <v/>
      </c>
      <c r="W56" s="122" t="n"/>
      <c r="X56" s="83" t="n"/>
      <c r="Y56" s="65" t="n"/>
      <c r="Z56" s="67" t="n"/>
      <c r="AA56" s="67" t="n"/>
      <c r="AB56" s="67" t="n"/>
      <c r="AC56" s="67" t="n"/>
      <c r="AD56" s="67" t="n"/>
      <c r="AE56" s="84">
        <f>IFERROR(AVERAGE($Z56,$AA56,$AB56,$AC56,$AD56),"")</f>
        <v/>
      </c>
      <c r="AF56" s="84">
        <f>IFERROR($F56*$AE56,"")</f>
        <v/>
      </c>
      <c r="AG56" s="83" t="n"/>
      <c r="AH56" s="65" t="n"/>
    </row>
    <row r="57">
      <c r="B57" s="78" t="inlineStr">
        <is>
          <t>T. 54</t>
        </is>
      </c>
      <c r="C57" s="61">
        <f>IFERROR('01_Key Requirements &amp; Use Cases'!$C44,"")</f>
        <v/>
      </c>
      <c r="D57" s="62">
        <f>IFERROR('01_Key Requirements &amp; Use Cases'!$D44,"")</f>
        <v/>
      </c>
      <c r="E57" s="82" t="n"/>
      <c r="F57" s="30" t="n"/>
      <c r="G57" s="78" t="n"/>
      <c r="H57" s="79" t="n"/>
      <c r="I57" s="74" t="n"/>
      <c r="J57" s="74" t="n"/>
      <c r="K57" s="74" t="n"/>
      <c r="L57" s="74" t="n"/>
      <c r="M57" s="76">
        <f>IFERROR(AVERAGE($G57,$I57,$J57,$K57,$L57),"")</f>
        <v/>
      </c>
      <c r="N57" s="76">
        <f>IFERROR($F57*$M57,"")</f>
        <v/>
      </c>
      <c r="O57" s="83" t="n"/>
      <c r="P57" s="77" t="n"/>
      <c r="Q57" s="67" t="n"/>
      <c r="R57" s="67" t="n"/>
      <c r="S57" s="67" t="n"/>
      <c r="T57" s="67" t="n"/>
      <c r="U57" s="67" t="n"/>
      <c r="V57" s="84">
        <f>IFERROR(AVERAGE($Q57,$R57,$S57,$T57,$U57),"")</f>
        <v/>
      </c>
      <c r="W57" s="122" t="n"/>
      <c r="X57" s="83" t="n"/>
      <c r="Y57" s="65" t="n"/>
      <c r="Z57" s="67" t="n"/>
      <c r="AA57" s="67" t="n"/>
      <c r="AB57" s="67" t="n"/>
      <c r="AC57" s="67" t="n"/>
      <c r="AD57" s="67" t="n"/>
      <c r="AE57" s="84">
        <f>IFERROR(AVERAGE($Z57,$AA57,$AB57,$AC57,$AD57),"")</f>
        <v/>
      </c>
      <c r="AF57" s="84">
        <f>IFERROR($F57*$AE57,"")</f>
        <v/>
      </c>
      <c r="AG57" s="83" t="n"/>
      <c r="AH57" s="65" t="n"/>
    </row>
    <row r="58">
      <c r="B58" s="78" t="inlineStr">
        <is>
          <t>T. 55</t>
        </is>
      </c>
      <c r="C58" s="61">
        <f>IFERROR('01_Key Requirements &amp; Use Cases'!$C45,"")</f>
        <v/>
      </c>
      <c r="D58" s="62">
        <f>IFERROR('01_Key Requirements &amp; Use Cases'!$D45,"")</f>
        <v/>
      </c>
      <c r="E58" s="82" t="n"/>
      <c r="F58" s="30" t="n"/>
      <c r="G58" s="78" t="n"/>
      <c r="H58" s="79" t="n"/>
      <c r="I58" s="74" t="n"/>
      <c r="J58" s="74" t="n"/>
      <c r="K58" s="74" t="n"/>
      <c r="L58" s="74" t="n"/>
      <c r="M58" s="76">
        <f>IFERROR(AVERAGE($G58,$I58,$J58,$K58,$L58),"")</f>
        <v/>
      </c>
      <c r="N58" s="76">
        <f>IFERROR($F58*$M58,"")</f>
        <v/>
      </c>
      <c r="O58" s="83" t="n"/>
      <c r="P58" s="77" t="n"/>
      <c r="Q58" s="67" t="n"/>
      <c r="R58" s="67" t="n"/>
      <c r="S58" s="67" t="n"/>
      <c r="T58" s="67" t="n"/>
      <c r="U58" s="67" t="n"/>
      <c r="V58" s="84">
        <f>IFERROR(AVERAGE($Q58,$R58,$S58,$T58,$U58),"")</f>
        <v/>
      </c>
      <c r="W58" s="122" t="n"/>
      <c r="X58" s="83" t="n"/>
      <c r="Y58" s="65" t="n"/>
      <c r="Z58" s="67" t="n"/>
      <c r="AA58" s="67" t="n"/>
      <c r="AB58" s="67" t="n"/>
      <c r="AC58" s="67" t="n"/>
      <c r="AD58" s="67" t="n"/>
      <c r="AE58" s="84">
        <f>IFERROR(AVERAGE($Z58,$AA58,$AB58,$AC58,$AD58),"")</f>
        <v/>
      </c>
      <c r="AF58" s="84">
        <f>IFERROR($F58*$AE58,"")</f>
        <v/>
      </c>
      <c r="AG58" s="83" t="n"/>
      <c r="AH58" s="65" t="n"/>
    </row>
    <row r="59">
      <c r="B59" s="78" t="inlineStr">
        <is>
          <t>T. 56</t>
        </is>
      </c>
      <c r="C59" s="61">
        <f>IFERROR('01_Key Requirements &amp; Use Cases'!$C46,"")</f>
        <v/>
      </c>
      <c r="D59" s="62">
        <f>IFERROR('01_Key Requirements &amp; Use Cases'!$D46,"")</f>
        <v/>
      </c>
      <c r="E59" s="82" t="n"/>
      <c r="F59" s="30" t="n"/>
      <c r="G59" s="78" t="n"/>
      <c r="H59" s="79" t="n"/>
      <c r="I59" s="74" t="n"/>
      <c r="J59" s="74" t="n"/>
      <c r="K59" s="74" t="n"/>
      <c r="L59" s="74" t="n"/>
      <c r="M59" s="76">
        <f>IFERROR(AVERAGE($G59,$I59,$J59,$K59,$L59),"")</f>
        <v/>
      </c>
      <c r="N59" s="76">
        <f>IFERROR($F59*$M59,"")</f>
        <v/>
      </c>
      <c r="O59" s="83" t="n"/>
      <c r="P59" s="77" t="n"/>
      <c r="Q59" s="67" t="n"/>
      <c r="R59" s="67" t="n"/>
      <c r="S59" s="67" t="n"/>
      <c r="T59" s="67" t="n"/>
      <c r="U59" s="67" t="n"/>
      <c r="V59" s="84">
        <f>IFERROR(AVERAGE($Q59,$R59,$S59,$T59,$U59),"")</f>
        <v/>
      </c>
      <c r="W59" s="122" t="n"/>
      <c r="X59" s="83" t="n"/>
      <c r="Y59" s="65" t="n"/>
      <c r="Z59" s="67" t="n"/>
      <c r="AA59" s="67" t="n"/>
      <c r="AB59" s="67" t="n"/>
      <c r="AC59" s="67" t="n"/>
      <c r="AD59" s="67" t="n"/>
      <c r="AE59" s="84">
        <f>IFERROR(AVERAGE($Z59,$AA59,$AB59,$AC59,$AD59),"")</f>
        <v/>
      </c>
      <c r="AF59" s="84">
        <f>IFERROR($F59*$AE59,"")</f>
        <v/>
      </c>
      <c r="AG59" s="83" t="n"/>
      <c r="AH59" s="65" t="n"/>
    </row>
    <row r="60">
      <c r="B60" s="78" t="inlineStr">
        <is>
          <t>T. 57</t>
        </is>
      </c>
      <c r="C60" s="61">
        <f>IFERROR('01_Key Requirements &amp; Use Cases'!$C47,"")</f>
        <v/>
      </c>
      <c r="D60" s="62">
        <f>IFERROR('01_Key Requirements &amp; Use Cases'!$D47,"")</f>
        <v/>
      </c>
      <c r="E60" s="82" t="n"/>
      <c r="F60" s="30" t="n"/>
      <c r="G60" s="78" t="n"/>
      <c r="H60" s="79" t="n"/>
      <c r="I60" s="74" t="n"/>
      <c r="J60" s="74" t="n"/>
      <c r="K60" s="74" t="n"/>
      <c r="L60" s="74" t="n"/>
      <c r="M60" s="76">
        <f>IFERROR(AVERAGE($G60,$I60,$J60,$K60,$L60),"")</f>
        <v/>
      </c>
      <c r="N60" s="76">
        <f>IFERROR($F60*$M60,"")</f>
        <v/>
      </c>
      <c r="O60" s="83" t="n"/>
      <c r="P60" s="77" t="n"/>
      <c r="Q60" s="67" t="n"/>
      <c r="R60" s="67" t="n"/>
      <c r="S60" s="67" t="n"/>
      <c r="T60" s="67" t="n"/>
      <c r="U60" s="67" t="n"/>
      <c r="V60" s="84">
        <f>IFERROR(AVERAGE($Q60,$R60,$S60,$T60,$U60),"")</f>
        <v/>
      </c>
      <c r="W60" s="122" t="n"/>
      <c r="X60" s="83" t="n"/>
      <c r="Y60" s="65" t="n"/>
      <c r="Z60" s="67" t="n"/>
      <c r="AA60" s="67" t="n"/>
      <c r="AB60" s="67" t="n"/>
      <c r="AC60" s="67" t="n"/>
      <c r="AD60" s="67" t="n"/>
      <c r="AE60" s="84">
        <f>IFERROR(AVERAGE($Z60,$AA60,$AB60,$AC60,$AD60),"")</f>
        <v/>
      </c>
      <c r="AF60" s="84">
        <f>IFERROR($F60*$AE60,"")</f>
        <v/>
      </c>
      <c r="AG60" s="83" t="n"/>
      <c r="AH60" s="65" t="n"/>
    </row>
    <row r="61">
      <c r="B61" s="78" t="inlineStr">
        <is>
          <t>T. 58</t>
        </is>
      </c>
      <c r="C61" s="61">
        <f>IFERROR('01_Key Requirements &amp; Use Cases'!$C48,"")</f>
        <v/>
      </c>
      <c r="D61" s="62">
        <f>IFERROR('01_Key Requirements &amp; Use Cases'!$D48,"")</f>
        <v/>
      </c>
      <c r="E61" s="82" t="n"/>
      <c r="F61" s="30" t="n"/>
      <c r="G61" s="78" t="n"/>
      <c r="H61" s="79" t="n"/>
      <c r="I61" s="74" t="n"/>
      <c r="J61" s="74" t="n"/>
      <c r="K61" s="74" t="n"/>
      <c r="L61" s="74" t="n"/>
      <c r="M61" s="76">
        <f>IFERROR(AVERAGE($G61,$I61,$J61,$K61,$L61),"")</f>
        <v/>
      </c>
      <c r="N61" s="76">
        <f>IFERROR($F61*$M61,"")</f>
        <v/>
      </c>
      <c r="O61" s="83" t="n"/>
      <c r="P61" s="77" t="n"/>
      <c r="Q61" s="67" t="n"/>
      <c r="R61" s="67" t="n"/>
      <c r="S61" s="67" t="n"/>
      <c r="T61" s="67" t="n"/>
      <c r="U61" s="67" t="n"/>
      <c r="V61" s="84">
        <f>IFERROR(AVERAGE($Q61,$R61,$S61,$T61,$U61),"")</f>
        <v/>
      </c>
      <c r="W61" s="122" t="n"/>
      <c r="X61" s="83" t="n"/>
      <c r="Y61" s="65" t="n"/>
      <c r="Z61" s="67" t="n"/>
      <c r="AA61" s="67" t="n"/>
      <c r="AB61" s="67" t="n"/>
      <c r="AC61" s="67" t="n"/>
      <c r="AD61" s="67" t="n"/>
      <c r="AE61" s="84">
        <f>IFERROR(AVERAGE($Z61,$AA61,$AB61,$AC61,$AD61),"")</f>
        <v/>
      </c>
      <c r="AF61" s="84">
        <f>IFERROR($F61*$AE61,"")</f>
        <v/>
      </c>
      <c r="AG61" s="83" t="n"/>
      <c r="AH61" s="65" t="n"/>
    </row>
    <row r="62">
      <c r="B62" s="78" t="inlineStr">
        <is>
          <t>T. 59</t>
        </is>
      </c>
      <c r="C62" s="61">
        <f>IFERROR('01_Key Requirements &amp; Use Cases'!$C49,"")</f>
        <v/>
      </c>
      <c r="D62" s="62">
        <f>IFERROR('01_Key Requirements &amp; Use Cases'!$D49,"")</f>
        <v/>
      </c>
      <c r="E62" s="82" t="n"/>
      <c r="F62" s="30" t="n"/>
      <c r="G62" s="78" t="n"/>
      <c r="H62" s="79" t="n"/>
      <c r="I62" s="74" t="n"/>
      <c r="J62" s="74" t="n"/>
      <c r="K62" s="74" t="n"/>
      <c r="L62" s="74" t="n"/>
      <c r="M62" s="76">
        <f>IFERROR(AVERAGE($G62,$I62,$J62,$K62,$L62),"")</f>
        <v/>
      </c>
      <c r="N62" s="76">
        <f>IFERROR($F62*$M62,"")</f>
        <v/>
      </c>
      <c r="O62" s="83" t="n"/>
      <c r="P62" s="77" t="n"/>
      <c r="Q62" s="67" t="n"/>
      <c r="R62" s="67" t="n"/>
      <c r="S62" s="67" t="n"/>
      <c r="T62" s="67" t="n"/>
      <c r="U62" s="67" t="n"/>
      <c r="V62" s="84">
        <f>IFERROR(AVERAGE($Q62,$R62,$S62,$T62,$U62),"")</f>
        <v/>
      </c>
      <c r="W62" s="122" t="n"/>
      <c r="X62" s="83" t="n"/>
      <c r="Y62" s="65" t="n"/>
      <c r="Z62" s="67" t="n"/>
      <c r="AA62" s="67" t="n"/>
      <c r="AB62" s="67" t="n"/>
      <c r="AC62" s="67" t="n"/>
      <c r="AD62" s="67" t="n"/>
      <c r="AE62" s="84">
        <f>IFERROR(AVERAGE($Z62,$AA62,$AB62,$AC62,$AD62),"")</f>
        <v/>
      </c>
      <c r="AF62" s="84">
        <f>IFERROR($F62*$AE62,"")</f>
        <v/>
      </c>
      <c r="AG62" s="83" t="n"/>
      <c r="AH62" s="65" t="n"/>
    </row>
    <row r="63">
      <c r="B63" s="78" t="inlineStr">
        <is>
          <t>T. 60</t>
        </is>
      </c>
      <c r="C63" s="61">
        <f>IFERROR('01_Key Requirements &amp; Use Cases'!$C50,"")</f>
        <v/>
      </c>
      <c r="D63" s="62">
        <f>IFERROR('01_Key Requirements &amp; Use Cases'!$D50,"")</f>
        <v/>
      </c>
      <c r="E63" s="82" t="n"/>
      <c r="F63" s="30" t="n"/>
      <c r="G63" s="78" t="n"/>
      <c r="H63" s="79" t="n"/>
      <c r="I63" s="74" t="n"/>
      <c r="J63" s="74" t="n"/>
      <c r="K63" s="74" t="n"/>
      <c r="L63" s="74" t="n"/>
      <c r="M63" s="76">
        <f>IFERROR(AVERAGE($G63,$I63,$J63,$K63,$L63),"")</f>
        <v/>
      </c>
      <c r="N63" s="76">
        <f>IFERROR($F63*$M63,"")</f>
        <v/>
      </c>
      <c r="O63" s="83" t="n"/>
      <c r="P63" s="77" t="n"/>
      <c r="Q63" s="67" t="n"/>
      <c r="R63" s="67" t="n"/>
      <c r="S63" s="67" t="n"/>
      <c r="T63" s="67" t="n"/>
      <c r="U63" s="67" t="n"/>
      <c r="V63" s="84">
        <f>IFERROR(AVERAGE($Q63,$R63,$S63,$T63,$U63),"")</f>
        <v/>
      </c>
      <c r="W63" s="122" t="n"/>
      <c r="X63" s="83" t="n"/>
      <c r="Y63" s="65" t="n"/>
      <c r="Z63" s="67" t="n"/>
      <c r="AA63" s="67" t="n"/>
      <c r="AB63" s="67" t="n"/>
      <c r="AC63" s="67" t="n"/>
      <c r="AD63" s="67" t="n"/>
      <c r="AE63" s="84">
        <f>IFERROR(AVERAGE($Z63,$AA63,$AB63,$AC63,$AD63),"")</f>
        <v/>
      </c>
      <c r="AF63" s="84">
        <f>IFERROR($F63*$AE63,"")</f>
        <v/>
      </c>
      <c r="AG63" s="83" t="n"/>
      <c r="AH63" s="65" t="n"/>
    </row>
    <row r="64">
      <c r="B64" s="78" t="inlineStr">
        <is>
          <t>T. 61</t>
        </is>
      </c>
      <c r="C64" s="61">
        <f>IFERROR('01_Key Requirements &amp; Use Cases'!$C51,"")</f>
        <v/>
      </c>
      <c r="D64" s="62">
        <f>IFERROR('01_Key Requirements &amp; Use Cases'!$D51,"")</f>
        <v/>
      </c>
      <c r="E64" s="82" t="n"/>
      <c r="F64" s="30" t="n"/>
      <c r="G64" s="78" t="n"/>
      <c r="H64" s="79" t="n"/>
      <c r="I64" s="74" t="n"/>
      <c r="J64" s="74" t="n"/>
      <c r="K64" s="74" t="n"/>
      <c r="L64" s="74" t="n"/>
      <c r="M64" s="76">
        <f>IFERROR(AVERAGE($G64,$I64,$J64,$K64,$L64),"")</f>
        <v/>
      </c>
      <c r="N64" s="76">
        <f>IFERROR($F64*$M64,"")</f>
        <v/>
      </c>
      <c r="O64" s="83" t="n"/>
      <c r="P64" s="77" t="n"/>
      <c r="Q64" s="67" t="n"/>
      <c r="R64" s="67" t="n"/>
      <c r="S64" s="67" t="n"/>
      <c r="T64" s="67" t="n"/>
      <c r="U64" s="67" t="n"/>
      <c r="V64" s="84">
        <f>IFERROR(AVERAGE($Q64,$R64,$S64,$T64,$U64),"")</f>
        <v/>
      </c>
      <c r="W64" s="122" t="n"/>
      <c r="X64" s="83" t="n"/>
      <c r="Y64" s="65" t="n"/>
      <c r="Z64" s="67" t="n"/>
      <c r="AA64" s="67" t="n"/>
      <c r="AB64" s="67" t="n"/>
      <c r="AC64" s="67" t="n"/>
      <c r="AD64" s="67" t="n"/>
      <c r="AE64" s="84">
        <f>IFERROR(AVERAGE($Z64,$AA64,$AB64,$AC64,$AD64),"")</f>
        <v/>
      </c>
      <c r="AF64" s="84">
        <f>IFERROR($F64*$AE64,"")</f>
        <v/>
      </c>
      <c r="AG64" s="83" t="n"/>
      <c r="AH64" s="65" t="n"/>
    </row>
    <row r="65">
      <c r="B65" s="78" t="inlineStr">
        <is>
          <t>T. 62</t>
        </is>
      </c>
      <c r="C65" s="61">
        <f>IFERROR('01_Key Requirements &amp; Use Cases'!$C52,"")</f>
        <v/>
      </c>
      <c r="D65" s="62">
        <f>IFERROR('01_Key Requirements &amp; Use Cases'!$D52,"")</f>
        <v/>
      </c>
      <c r="E65" s="82" t="n"/>
      <c r="F65" s="30" t="n"/>
      <c r="G65" s="78" t="n"/>
      <c r="H65" s="79" t="n"/>
      <c r="I65" s="74" t="n"/>
      <c r="J65" s="74" t="n"/>
      <c r="K65" s="74" t="n"/>
      <c r="L65" s="74" t="n"/>
      <c r="M65" s="76">
        <f>IFERROR(AVERAGE($G65,$I65,$J65,$K65,$L65),"")</f>
        <v/>
      </c>
      <c r="N65" s="76">
        <f>IFERROR($F65*$M65,"")</f>
        <v/>
      </c>
      <c r="O65" s="83" t="n"/>
      <c r="P65" s="77" t="n"/>
      <c r="Q65" s="67" t="n"/>
      <c r="R65" s="67" t="n"/>
      <c r="S65" s="67" t="n"/>
      <c r="T65" s="67" t="n"/>
      <c r="U65" s="67" t="n"/>
      <c r="V65" s="84">
        <f>IFERROR(AVERAGE($Q65,$R65,$S65,$T65,$U65),"")</f>
        <v/>
      </c>
      <c r="W65" s="122" t="n"/>
      <c r="X65" s="83" t="n"/>
      <c r="Y65" s="65" t="n"/>
      <c r="Z65" s="67" t="n"/>
      <c r="AA65" s="67" t="n"/>
      <c r="AB65" s="67" t="n"/>
      <c r="AC65" s="67" t="n"/>
      <c r="AD65" s="67" t="n"/>
      <c r="AE65" s="84">
        <f>IFERROR(AVERAGE($Z65,$AA65,$AB65,$AC65,$AD65),"")</f>
        <v/>
      </c>
      <c r="AF65" s="84">
        <f>IFERROR($F65*$AE65,"")</f>
        <v/>
      </c>
      <c r="AG65" s="83" t="n"/>
      <c r="AH65" s="65" t="n"/>
    </row>
    <row r="66">
      <c r="B66" s="78" t="inlineStr">
        <is>
          <t>T. 63</t>
        </is>
      </c>
      <c r="C66" s="61">
        <f>IFERROR('01_Key Requirements &amp; Use Cases'!$C53,"")</f>
        <v/>
      </c>
      <c r="D66" s="62">
        <f>IFERROR('01_Key Requirements &amp; Use Cases'!$D53,"")</f>
        <v/>
      </c>
      <c r="E66" s="82" t="n"/>
      <c r="F66" s="30" t="n"/>
      <c r="G66" s="78" t="n"/>
      <c r="H66" s="79" t="n"/>
      <c r="I66" s="74" t="n"/>
      <c r="J66" s="74" t="n"/>
      <c r="K66" s="74" t="n"/>
      <c r="L66" s="74" t="n"/>
      <c r="M66" s="76">
        <f>IFERROR(AVERAGE($G66,$I66,$J66,$K66,$L66),"")</f>
        <v/>
      </c>
      <c r="N66" s="76">
        <f>IFERROR($F66*$M66,"")</f>
        <v/>
      </c>
      <c r="O66" s="83" t="n"/>
      <c r="P66" s="77" t="n"/>
      <c r="Q66" s="67" t="n"/>
      <c r="R66" s="67" t="n"/>
      <c r="S66" s="67" t="n"/>
      <c r="T66" s="67" t="n"/>
      <c r="U66" s="67" t="n"/>
      <c r="V66" s="84">
        <f>IFERROR(AVERAGE($Q66,$R66,$S66,$T66,$U66),"")</f>
        <v/>
      </c>
      <c r="W66" s="122" t="n"/>
      <c r="X66" s="83" t="n"/>
      <c r="Y66" s="65" t="n"/>
      <c r="Z66" s="67" t="n"/>
      <c r="AA66" s="67" t="n"/>
      <c r="AB66" s="67" t="n"/>
      <c r="AC66" s="67" t="n"/>
      <c r="AD66" s="67" t="n"/>
      <c r="AE66" s="84">
        <f>IFERROR(AVERAGE($Z66,$AA66,$AB66,$AC66,$AD66),"")</f>
        <v/>
      </c>
      <c r="AF66" s="84">
        <f>IFERROR($F66*$AE66,"")</f>
        <v/>
      </c>
      <c r="AG66" s="83" t="n"/>
      <c r="AH66" s="65" t="n"/>
    </row>
    <row r="67">
      <c r="B67" s="78" t="inlineStr">
        <is>
          <t>T. 64</t>
        </is>
      </c>
      <c r="C67" s="61">
        <f>IFERROR('01_Key Requirements &amp; Use Cases'!$C54,"")</f>
        <v/>
      </c>
      <c r="D67" s="62">
        <f>IFERROR('01_Key Requirements &amp; Use Cases'!$D54,"")</f>
        <v/>
      </c>
      <c r="E67" s="82" t="n"/>
      <c r="F67" s="30" t="n"/>
      <c r="G67" s="78" t="n"/>
      <c r="H67" s="79" t="n"/>
      <c r="I67" s="74" t="n"/>
      <c r="J67" s="74" t="n"/>
      <c r="K67" s="74" t="n"/>
      <c r="L67" s="74" t="n"/>
      <c r="M67" s="76">
        <f>IFERROR(AVERAGE($G67,$I67,$J67,$K67,$L67),"")</f>
        <v/>
      </c>
      <c r="N67" s="76">
        <f>IFERROR($F67*$M67,"")</f>
        <v/>
      </c>
      <c r="O67" s="83" t="n"/>
      <c r="P67" s="77" t="n"/>
      <c r="Q67" s="67" t="n"/>
      <c r="R67" s="67" t="n"/>
      <c r="S67" s="67" t="n"/>
      <c r="T67" s="67" t="n"/>
      <c r="U67" s="67" t="n"/>
      <c r="V67" s="84">
        <f>IFERROR(AVERAGE($Q67,$R67,$S67,$T67,$U67),"")</f>
        <v/>
      </c>
      <c r="W67" s="122" t="n"/>
      <c r="X67" s="83" t="n"/>
      <c r="Y67" s="65" t="n"/>
      <c r="Z67" s="67" t="n"/>
      <c r="AA67" s="67" t="n"/>
      <c r="AB67" s="67" t="n"/>
      <c r="AC67" s="67" t="n"/>
      <c r="AD67" s="67" t="n"/>
      <c r="AE67" s="84">
        <f>IFERROR(AVERAGE($Z67,$AA67,$AB67,$AC67,$AD67),"")</f>
        <v/>
      </c>
      <c r="AF67" s="84">
        <f>IFERROR($F67*$AE67,"")</f>
        <v/>
      </c>
      <c r="AG67" s="83" t="n"/>
      <c r="AH67" s="65" t="n"/>
    </row>
    <row r="68">
      <c r="B68" s="78" t="inlineStr">
        <is>
          <t>T. 65</t>
        </is>
      </c>
      <c r="C68" s="61">
        <f>IFERROR('01_Key Requirements &amp; Use Cases'!$C55,"")</f>
        <v/>
      </c>
      <c r="D68" s="62">
        <f>IFERROR('01_Key Requirements &amp; Use Cases'!$D55,"")</f>
        <v/>
      </c>
      <c r="E68" s="82" t="n"/>
      <c r="F68" s="30" t="n"/>
      <c r="G68" s="78" t="n"/>
      <c r="H68" s="79" t="n"/>
      <c r="I68" s="74" t="n"/>
      <c r="J68" s="74" t="n"/>
      <c r="K68" s="74" t="n"/>
      <c r="L68" s="74" t="n"/>
      <c r="M68" s="76">
        <f>IFERROR(AVERAGE($G68,$I68,$J68,$K68,$L68),"")</f>
        <v/>
      </c>
      <c r="N68" s="76">
        <f>IFERROR($F68*$M68,"")</f>
        <v/>
      </c>
      <c r="O68" s="83" t="n"/>
      <c r="P68" s="77" t="n"/>
      <c r="Q68" s="67" t="n"/>
      <c r="R68" s="67" t="n"/>
      <c r="S68" s="67" t="n"/>
      <c r="T68" s="67" t="n"/>
      <c r="U68" s="67" t="n"/>
      <c r="V68" s="84">
        <f>IFERROR(AVERAGE($Q68,$R68,$S68,$T68,$U68),"")</f>
        <v/>
      </c>
      <c r="W68" s="122" t="n"/>
      <c r="X68" s="83" t="n"/>
      <c r="Y68" s="65" t="n"/>
      <c r="Z68" s="67" t="n"/>
      <c r="AA68" s="67" t="n"/>
      <c r="AB68" s="67" t="n"/>
      <c r="AC68" s="67" t="n"/>
      <c r="AD68" s="67" t="n"/>
      <c r="AE68" s="84">
        <f>IFERROR(AVERAGE($Z68,$AA68,$AB68,$AC68,$AD68),"")</f>
        <v/>
      </c>
      <c r="AF68" s="84">
        <f>IFERROR($F68*$AE68,"")</f>
        <v/>
      </c>
      <c r="AG68" s="83" t="n"/>
      <c r="AH68" s="65" t="n"/>
    </row>
    <row r="69">
      <c r="B69" s="78" t="inlineStr">
        <is>
          <t>T. 66</t>
        </is>
      </c>
      <c r="C69" s="61">
        <f>IFERROR('01_Key Requirements &amp; Use Cases'!$C56,"")</f>
        <v/>
      </c>
      <c r="D69" s="62">
        <f>IFERROR('01_Key Requirements &amp; Use Cases'!$D56,"")</f>
        <v/>
      </c>
      <c r="E69" s="82" t="n"/>
      <c r="F69" s="30" t="n"/>
      <c r="G69" s="78" t="n"/>
      <c r="H69" s="79" t="n"/>
      <c r="I69" s="74" t="n"/>
      <c r="J69" s="74" t="n"/>
      <c r="K69" s="74" t="n"/>
      <c r="L69" s="74" t="n"/>
      <c r="M69" s="76">
        <f>IFERROR(AVERAGE($G69,$I69,$J69,$K69,$L69),"")</f>
        <v/>
      </c>
      <c r="N69" s="76">
        <f>IFERROR($F69*$M69,"")</f>
        <v/>
      </c>
      <c r="O69" s="83" t="n"/>
      <c r="P69" s="77" t="n"/>
      <c r="Q69" s="67" t="n"/>
      <c r="R69" s="67" t="n"/>
      <c r="S69" s="67" t="n"/>
      <c r="T69" s="67" t="n"/>
      <c r="U69" s="67" t="n"/>
      <c r="V69" s="84">
        <f>IFERROR(AVERAGE($Q69,$R69,$S69,$T69,$U69),"")</f>
        <v/>
      </c>
      <c r="W69" s="122" t="n"/>
      <c r="X69" s="83" t="n"/>
      <c r="Y69" s="65" t="n"/>
      <c r="Z69" s="67" t="n"/>
      <c r="AA69" s="67" t="n"/>
      <c r="AB69" s="67" t="n"/>
      <c r="AC69" s="67" t="n"/>
      <c r="AD69" s="67" t="n"/>
      <c r="AE69" s="84">
        <f>IFERROR(AVERAGE($Z69,$AA69,$AB69,$AC69,$AD69),"")</f>
        <v/>
      </c>
      <c r="AF69" s="84">
        <f>IFERROR($F69*$AE69,"")</f>
        <v/>
      </c>
      <c r="AG69" s="83" t="n"/>
      <c r="AH69" s="65" t="n"/>
    </row>
    <row r="70">
      <c r="B70" s="78" t="inlineStr">
        <is>
          <t>T. 67</t>
        </is>
      </c>
      <c r="C70" s="61">
        <f>IFERROR('01_Key Requirements &amp; Use Cases'!$C57,"")</f>
        <v/>
      </c>
      <c r="D70" s="62">
        <f>IFERROR('01_Key Requirements &amp; Use Cases'!$D57,"")</f>
        <v/>
      </c>
      <c r="E70" s="82" t="n"/>
      <c r="F70" s="30" t="n"/>
      <c r="G70" s="78" t="n"/>
      <c r="H70" s="79" t="n"/>
      <c r="I70" s="74" t="n"/>
      <c r="J70" s="74" t="n"/>
      <c r="K70" s="74" t="n"/>
      <c r="L70" s="74" t="n"/>
      <c r="M70" s="76">
        <f>IFERROR(AVERAGE($G70,$I70,$J70,$K70,$L70),"")</f>
        <v/>
      </c>
      <c r="N70" s="76">
        <f>IFERROR($F70*$M70,"")</f>
        <v/>
      </c>
      <c r="O70" s="83" t="n"/>
      <c r="P70" s="77" t="n"/>
      <c r="Q70" s="67" t="n"/>
      <c r="R70" s="67" t="n"/>
      <c r="S70" s="67" t="n"/>
      <c r="T70" s="67" t="n"/>
      <c r="U70" s="67" t="n"/>
      <c r="V70" s="84">
        <f>IFERROR(AVERAGE($Q70,$R70,$S70,$T70,$U70),"")</f>
        <v/>
      </c>
      <c r="W70" s="122" t="n"/>
      <c r="X70" s="83" t="n"/>
      <c r="Y70" s="65" t="n"/>
      <c r="Z70" s="67" t="n"/>
      <c r="AA70" s="67" t="n"/>
      <c r="AB70" s="67" t="n"/>
      <c r="AC70" s="67" t="n"/>
      <c r="AD70" s="67" t="n"/>
      <c r="AE70" s="84">
        <f>IFERROR(AVERAGE($Z70,$AA70,$AB70,$AC70,$AD70),"")</f>
        <v/>
      </c>
      <c r="AF70" s="84">
        <f>IFERROR($F70*$AE70,"")</f>
        <v/>
      </c>
      <c r="AG70" s="83" t="n"/>
      <c r="AH70" s="65" t="n"/>
    </row>
    <row r="71">
      <c r="B71" s="78" t="inlineStr">
        <is>
          <t>T. 68</t>
        </is>
      </c>
      <c r="C71" s="61">
        <f>IFERROR('01_Key Requirements &amp; Use Cases'!$C58,"")</f>
        <v/>
      </c>
      <c r="D71" s="62">
        <f>IFERROR('01_Key Requirements &amp; Use Cases'!$D58,"")</f>
        <v/>
      </c>
      <c r="E71" s="82" t="n"/>
      <c r="F71" s="30" t="n"/>
      <c r="G71" s="78" t="n"/>
      <c r="H71" s="79" t="n"/>
      <c r="I71" s="74" t="n"/>
      <c r="J71" s="74" t="n"/>
      <c r="K71" s="74" t="n"/>
      <c r="L71" s="74" t="n"/>
      <c r="M71" s="76">
        <f>IFERROR(AVERAGE($G71,$I71,$J71,$K71,$L71),"")</f>
        <v/>
      </c>
      <c r="N71" s="76">
        <f>IFERROR($F71*$M71,"")</f>
        <v/>
      </c>
      <c r="O71" s="83" t="n"/>
      <c r="P71" s="77" t="n"/>
      <c r="Q71" s="67" t="n"/>
      <c r="R71" s="67" t="n"/>
      <c r="S71" s="67" t="n"/>
      <c r="T71" s="67" t="n"/>
      <c r="U71" s="67" t="n"/>
      <c r="V71" s="84">
        <f>IFERROR(AVERAGE($Q71,$R71,$S71,$T71,$U71),"")</f>
        <v/>
      </c>
      <c r="W71" s="122" t="n"/>
      <c r="X71" s="83" t="n"/>
      <c r="Y71" s="65" t="n"/>
      <c r="Z71" s="67" t="n"/>
      <c r="AA71" s="67" t="n"/>
      <c r="AB71" s="67" t="n"/>
      <c r="AC71" s="67" t="n"/>
      <c r="AD71" s="67" t="n"/>
      <c r="AE71" s="84">
        <f>IFERROR(AVERAGE($Z71,$AA71,$AB71,$AC71,$AD71),"")</f>
        <v/>
      </c>
      <c r="AF71" s="84">
        <f>IFERROR($F71*$AE71,"")</f>
        <v/>
      </c>
      <c r="AG71" s="83" t="n"/>
      <c r="AH71" s="65" t="n"/>
    </row>
    <row r="72">
      <c r="B72" s="78" t="inlineStr">
        <is>
          <t>T. 69</t>
        </is>
      </c>
      <c r="C72" s="61">
        <f>IFERROR('01_Key Requirements &amp; Use Cases'!$C59,"")</f>
        <v/>
      </c>
      <c r="D72" s="62">
        <f>IFERROR('01_Key Requirements &amp; Use Cases'!$D59,"")</f>
        <v/>
      </c>
      <c r="E72" s="82" t="n"/>
      <c r="F72" s="30" t="n"/>
      <c r="G72" s="78" t="n"/>
      <c r="H72" s="79" t="n"/>
      <c r="I72" s="74" t="n"/>
      <c r="J72" s="74" t="n"/>
      <c r="K72" s="74" t="n"/>
      <c r="L72" s="74" t="n"/>
      <c r="M72" s="76">
        <f>IFERROR(AVERAGE($G72,$I72,$J72,$K72,$L72),"")</f>
        <v/>
      </c>
      <c r="N72" s="76">
        <f>IFERROR($F72*$M72,"")</f>
        <v/>
      </c>
      <c r="O72" s="83" t="n"/>
      <c r="P72" s="77" t="n"/>
      <c r="Q72" s="67" t="n"/>
      <c r="R72" s="67" t="n"/>
      <c r="S72" s="67" t="n"/>
      <c r="T72" s="67" t="n"/>
      <c r="U72" s="67" t="n"/>
      <c r="V72" s="84">
        <f>IFERROR(AVERAGE($Q72,$R72,$S72,$T72,$U72),"")</f>
        <v/>
      </c>
      <c r="W72" s="122" t="n"/>
      <c r="X72" s="83" t="n"/>
      <c r="Y72" s="65" t="n"/>
      <c r="Z72" s="67" t="n"/>
      <c r="AA72" s="67" t="n"/>
      <c r="AB72" s="67" t="n"/>
      <c r="AC72" s="67" t="n"/>
      <c r="AD72" s="67" t="n"/>
      <c r="AE72" s="84">
        <f>IFERROR(AVERAGE($Z72,$AA72,$AB72,$AC72,$AD72),"")</f>
        <v/>
      </c>
      <c r="AF72" s="84">
        <f>IFERROR($F72*$AE72,"")</f>
        <v/>
      </c>
      <c r="AG72" s="83" t="n"/>
      <c r="AH72" s="65" t="n"/>
    </row>
    <row r="73">
      <c r="B73" s="78" t="inlineStr">
        <is>
          <t>T. 70</t>
        </is>
      </c>
      <c r="C73" s="61">
        <f>IFERROR('01_Key Requirements &amp; Use Cases'!$C60,"")</f>
        <v/>
      </c>
      <c r="D73" s="62">
        <f>IFERROR('01_Key Requirements &amp; Use Cases'!$D60,"")</f>
        <v/>
      </c>
      <c r="E73" s="82" t="n"/>
      <c r="F73" s="30" t="n"/>
      <c r="G73" s="78" t="n"/>
      <c r="H73" s="79" t="n"/>
      <c r="I73" s="74" t="n"/>
      <c r="J73" s="74" t="n"/>
      <c r="K73" s="74" t="n"/>
      <c r="L73" s="74" t="n"/>
      <c r="M73" s="76">
        <f>IFERROR(AVERAGE($G73,$I73,$J73,$K73,$L73),"")</f>
        <v/>
      </c>
      <c r="N73" s="76">
        <f>IFERROR($F73*$M73,"")</f>
        <v/>
      </c>
      <c r="O73" s="83" t="n"/>
      <c r="P73" s="77" t="n"/>
      <c r="Q73" s="67" t="n"/>
      <c r="R73" s="67" t="n"/>
      <c r="S73" s="67" t="n"/>
      <c r="T73" s="67" t="n"/>
      <c r="U73" s="67" t="n"/>
      <c r="V73" s="84">
        <f>IFERROR(AVERAGE($Q73,$R73,$S73,$T73,$U73),"")</f>
        <v/>
      </c>
      <c r="W73" s="122" t="n"/>
      <c r="X73" s="83" t="n"/>
      <c r="Y73" s="65" t="n"/>
      <c r="Z73" s="67" t="n"/>
      <c r="AA73" s="67" t="n"/>
      <c r="AB73" s="67" t="n"/>
      <c r="AC73" s="67" t="n"/>
      <c r="AD73" s="67" t="n"/>
      <c r="AE73" s="84">
        <f>IFERROR(AVERAGE($Z73,$AA73,$AB73,$AC73,$AD73),"")</f>
        <v/>
      </c>
      <c r="AF73" s="84">
        <f>IFERROR($F73*$AE73,"")</f>
        <v/>
      </c>
      <c r="AG73" s="83" t="n"/>
      <c r="AH73" s="65" t="n"/>
    </row>
    <row r="74">
      <c r="B74" s="78" t="inlineStr">
        <is>
          <t>T. 71</t>
        </is>
      </c>
      <c r="C74" s="61">
        <f>IFERROR('01_Key Requirements &amp; Use Cases'!$C61,"")</f>
        <v/>
      </c>
      <c r="D74" s="62">
        <f>IFERROR('01_Key Requirements &amp; Use Cases'!$D61,"")</f>
        <v/>
      </c>
      <c r="E74" s="82" t="n"/>
      <c r="F74" s="30" t="n"/>
      <c r="G74" s="78" t="n"/>
      <c r="H74" s="79" t="n"/>
      <c r="I74" s="74" t="n"/>
      <c r="J74" s="74" t="n"/>
      <c r="K74" s="74" t="n"/>
      <c r="L74" s="74" t="n"/>
      <c r="M74" s="76">
        <f>IFERROR(AVERAGE($G74,$I74,$J74,$K74,$L74),"")</f>
        <v/>
      </c>
      <c r="N74" s="76">
        <f>IFERROR($F74*$M74,"")</f>
        <v/>
      </c>
      <c r="O74" s="83" t="n"/>
      <c r="P74" s="77" t="n"/>
      <c r="Q74" s="67" t="n"/>
      <c r="R74" s="67" t="n"/>
      <c r="S74" s="67" t="n"/>
      <c r="T74" s="67" t="n"/>
      <c r="U74" s="67" t="n"/>
      <c r="V74" s="84">
        <f>IFERROR(AVERAGE($Q74,$R74,$S74,$T74,$U74),"")</f>
        <v/>
      </c>
      <c r="W74" s="122" t="n"/>
      <c r="X74" s="83" t="n"/>
      <c r="Y74" s="65" t="n"/>
      <c r="Z74" s="67" t="n"/>
      <c r="AA74" s="67" t="n"/>
      <c r="AB74" s="67" t="n"/>
      <c r="AC74" s="67" t="n"/>
      <c r="AD74" s="67" t="n"/>
      <c r="AE74" s="84">
        <f>IFERROR(AVERAGE($Z74,$AA74,$AB74,$AC74,$AD74),"")</f>
        <v/>
      </c>
      <c r="AF74" s="84">
        <f>IFERROR($F74*$AE74,"")</f>
        <v/>
      </c>
      <c r="AG74" s="83" t="n"/>
      <c r="AH74" s="65" t="n"/>
    </row>
    <row r="75">
      <c r="B75" s="78" t="inlineStr">
        <is>
          <t>T. 72</t>
        </is>
      </c>
      <c r="C75" s="61">
        <f>IFERROR('01_Key Requirements &amp; Use Cases'!$C62,"")</f>
        <v/>
      </c>
      <c r="D75" s="62">
        <f>IFERROR('01_Key Requirements &amp; Use Cases'!$D62,"")</f>
        <v/>
      </c>
      <c r="E75" s="82" t="n"/>
      <c r="F75" s="30" t="n"/>
      <c r="G75" s="78" t="n"/>
      <c r="H75" s="79" t="n"/>
      <c r="I75" s="74" t="n"/>
      <c r="J75" s="74" t="n"/>
      <c r="K75" s="74" t="n"/>
      <c r="L75" s="74" t="n"/>
      <c r="M75" s="76">
        <f>IFERROR(AVERAGE($G75,$I75,$J75,$K75,$L75),"")</f>
        <v/>
      </c>
      <c r="N75" s="76">
        <f>IFERROR($F75*$M75,"")</f>
        <v/>
      </c>
      <c r="O75" s="83" t="n"/>
      <c r="P75" s="77" t="n"/>
      <c r="Q75" s="67" t="n"/>
      <c r="R75" s="67" t="n"/>
      <c r="S75" s="67" t="n"/>
      <c r="T75" s="67" t="n"/>
      <c r="U75" s="67" t="n"/>
      <c r="V75" s="84">
        <f>IFERROR(AVERAGE($Q75,$R75,$S75,$T75,$U75),"")</f>
        <v/>
      </c>
      <c r="W75" s="122" t="n"/>
      <c r="X75" s="83" t="n"/>
      <c r="Y75" s="65" t="n"/>
      <c r="Z75" s="67" t="n"/>
      <c r="AA75" s="67" t="n"/>
      <c r="AB75" s="67" t="n"/>
      <c r="AC75" s="67" t="n"/>
      <c r="AD75" s="67" t="n"/>
      <c r="AE75" s="84">
        <f>IFERROR(AVERAGE($Z75,$AA75,$AB75,$AC75,$AD75),"")</f>
        <v/>
      </c>
      <c r="AF75" s="84">
        <f>IFERROR($F75*$AE75,"")</f>
        <v/>
      </c>
      <c r="AG75" s="83" t="n"/>
      <c r="AH75" s="65" t="n"/>
    </row>
    <row r="76">
      <c r="B76" s="78" t="inlineStr">
        <is>
          <t>T. 73</t>
        </is>
      </c>
      <c r="C76" s="61">
        <f>IFERROR('01_Key Requirements &amp; Use Cases'!$C63,"")</f>
        <v/>
      </c>
      <c r="D76" s="62">
        <f>IFERROR('01_Key Requirements &amp; Use Cases'!$D63,"")</f>
        <v/>
      </c>
      <c r="E76" s="82" t="n"/>
      <c r="F76" s="30" t="n"/>
      <c r="G76" s="78" t="n"/>
      <c r="H76" s="79" t="n"/>
      <c r="I76" s="74" t="n"/>
      <c r="J76" s="74" t="n"/>
      <c r="K76" s="74" t="n"/>
      <c r="L76" s="74" t="n"/>
      <c r="M76" s="76">
        <f>IFERROR(AVERAGE($G76,$I76,$J76,$K76,$L76),"")</f>
        <v/>
      </c>
      <c r="N76" s="76">
        <f>IFERROR($F76*$M76,"")</f>
        <v/>
      </c>
      <c r="O76" s="83" t="n"/>
      <c r="P76" s="77" t="n"/>
      <c r="Q76" s="67" t="n"/>
      <c r="R76" s="67" t="n"/>
      <c r="S76" s="67" t="n"/>
      <c r="T76" s="67" t="n"/>
      <c r="U76" s="67" t="n"/>
      <c r="V76" s="84">
        <f>IFERROR(AVERAGE($Q76,$R76,$S76,$T76,$U76),"")</f>
        <v/>
      </c>
      <c r="W76" s="122" t="n"/>
      <c r="X76" s="83" t="n"/>
      <c r="Y76" s="65" t="n"/>
      <c r="Z76" s="67" t="n"/>
      <c r="AA76" s="67" t="n"/>
      <c r="AB76" s="67" t="n"/>
      <c r="AC76" s="67" t="n"/>
      <c r="AD76" s="67" t="n"/>
      <c r="AE76" s="84">
        <f>IFERROR(AVERAGE($Z76,$AA76,$AB76,$AC76,$AD76),"")</f>
        <v/>
      </c>
      <c r="AF76" s="84">
        <f>IFERROR($F76*$AE76,"")</f>
        <v/>
      </c>
      <c r="AG76" s="83" t="n"/>
      <c r="AH76" s="65" t="n"/>
    </row>
    <row r="77">
      <c r="B77" s="78" t="inlineStr">
        <is>
          <t>T. 74</t>
        </is>
      </c>
      <c r="C77" s="61">
        <f>IFERROR('01_Key Requirements &amp; Use Cases'!$C64,"")</f>
        <v/>
      </c>
      <c r="D77" s="62">
        <f>IFERROR('01_Key Requirements &amp; Use Cases'!$D64,"")</f>
        <v/>
      </c>
      <c r="E77" s="82" t="n"/>
      <c r="F77" s="30" t="n"/>
      <c r="G77" s="78" t="n"/>
      <c r="H77" s="79" t="n"/>
      <c r="I77" s="74" t="n"/>
      <c r="J77" s="74" t="n"/>
      <c r="K77" s="74" t="n"/>
      <c r="L77" s="74" t="n"/>
      <c r="M77" s="76">
        <f>IFERROR(AVERAGE($G77,$I77,$J77,$K77,$L77),"")</f>
        <v/>
      </c>
      <c r="N77" s="76">
        <f>IFERROR($F77*$M77,"")</f>
        <v/>
      </c>
      <c r="O77" s="83" t="n"/>
      <c r="P77" s="77" t="n"/>
      <c r="Q77" s="67" t="n"/>
      <c r="R77" s="67" t="n"/>
      <c r="S77" s="67" t="n"/>
      <c r="T77" s="67" t="n"/>
      <c r="U77" s="67" t="n"/>
      <c r="V77" s="84">
        <f>IFERROR(AVERAGE($Q77,$R77,$S77,$T77,$U77),"")</f>
        <v/>
      </c>
      <c r="W77" s="122" t="n"/>
      <c r="X77" s="83" t="n"/>
      <c r="Y77" s="65" t="n"/>
      <c r="Z77" s="67" t="n"/>
      <c r="AA77" s="67" t="n"/>
      <c r="AB77" s="67" t="n"/>
      <c r="AC77" s="67" t="n"/>
      <c r="AD77" s="67" t="n"/>
      <c r="AE77" s="84">
        <f>IFERROR(AVERAGE($Z77,$AA77,$AB77,$AC77,$AD77),"")</f>
        <v/>
      </c>
      <c r="AF77" s="84">
        <f>IFERROR($F77*$AE77,"")</f>
        <v/>
      </c>
      <c r="AG77" s="83" t="n"/>
      <c r="AH77" s="65" t="n"/>
    </row>
    <row r="78">
      <c r="B78" s="78" t="inlineStr">
        <is>
          <t>T. 75</t>
        </is>
      </c>
      <c r="C78" s="61">
        <f>IFERROR('01_Key Requirements &amp; Use Cases'!$C65,"")</f>
        <v/>
      </c>
      <c r="D78" s="62">
        <f>IFERROR('01_Key Requirements &amp; Use Cases'!$D65,"")</f>
        <v/>
      </c>
      <c r="E78" s="82" t="n"/>
      <c r="F78" s="30" t="n"/>
      <c r="G78" s="78" t="n"/>
      <c r="H78" s="79" t="n"/>
      <c r="I78" s="74" t="n"/>
      <c r="J78" s="74" t="n"/>
      <c r="K78" s="74" t="n"/>
      <c r="L78" s="74" t="n"/>
      <c r="M78" s="76">
        <f>IFERROR(AVERAGE($G78,$I78,$J78,$K78,$L78),"")</f>
        <v/>
      </c>
      <c r="N78" s="76">
        <f>IFERROR($F78*$M78,"")</f>
        <v/>
      </c>
      <c r="O78" s="83" t="n"/>
      <c r="P78" s="77" t="n"/>
      <c r="Q78" s="67" t="n"/>
      <c r="R78" s="67" t="n"/>
      <c r="S78" s="67" t="n"/>
      <c r="T78" s="67" t="n"/>
      <c r="U78" s="67" t="n"/>
      <c r="V78" s="84">
        <f>IFERROR(AVERAGE($Q78,$R78,$S78,$T78,$U78),"")</f>
        <v/>
      </c>
      <c r="W78" s="122" t="n"/>
      <c r="X78" s="83" t="n"/>
      <c r="Y78" s="65" t="n"/>
      <c r="Z78" s="67" t="n"/>
      <c r="AA78" s="67" t="n"/>
      <c r="AB78" s="67" t="n"/>
      <c r="AC78" s="67" t="n"/>
      <c r="AD78" s="67" t="n"/>
      <c r="AE78" s="84">
        <f>IFERROR(AVERAGE($Z78,$AA78,$AB78,$AC78,$AD78),"")</f>
        <v/>
      </c>
      <c r="AF78" s="84">
        <f>IFERROR($F78*$AE78,"")</f>
        <v/>
      </c>
      <c r="AG78" s="83" t="n"/>
      <c r="AH78" s="65" t="n"/>
    </row>
    <row r="79">
      <c r="B79" s="78" t="inlineStr">
        <is>
          <t>T. 76</t>
        </is>
      </c>
      <c r="C79" s="61">
        <f>IFERROR('01_Key Requirements &amp; Use Cases'!$C66,"")</f>
        <v/>
      </c>
      <c r="D79" s="62">
        <f>IFERROR('01_Key Requirements &amp; Use Cases'!$D66,"")</f>
        <v/>
      </c>
      <c r="E79" s="82" t="n"/>
      <c r="F79" s="30" t="n"/>
      <c r="G79" s="78" t="n"/>
      <c r="H79" s="79" t="n"/>
      <c r="I79" s="74" t="n"/>
      <c r="J79" s="74" t="n"/>
      <c r="K79" s="74" t="n"/>
      <c r="L79" s="74" t="n"/>
      <c r="M79" s="76">
        <f>IFERROR(AVERAGE($G79,$I79,$J79,$K79,$L79),"")</f>
        <v/>
      </c>
      <c r="N79" s="76">
        <f>IFERROR($F79*$M79,"")</f>
        <v/>
      </c>
      <c r="O79" s="83" t="n"/>
      <c r="P79" s="77" t="n"/>
      <c r="Q79" s="67" t="n"/>
      <c r="R79" s="67" t="n"/>
      <c r="S79" s="67" t="n"/>
      <c r="T79" s="67" t="n"/>
      <c r="U79" s="67" t="n"/>
      <c r="V79" s="84">
        <f>IFERROR(AVERAGE($Q79,$R79,$S79,$T79,$U79),"")</f>
        <v/>
      </c>
      <c r="W79" s="122" t="n"/>
      <c r="X79" s="83" t="n"/>
      <c r="Y79" s="65" t="n"/>
      <c r="Z79" s="67" t="n"/>
      <c r="AA79" s="67" t="n"/>
      <c r="AB79" s="67" t="n"/>
      <c r="AC79" s="67" t="n"/>
      <c r="AD79" s="67" t="n"/>
      <c r="AE79" s="84">
        <f>IFERROR(AVERAGE($Z79,$AA79,$AB79,$AC79,$AD79),"")</f>
        <v/>
      </c>
      <c r="AF79" s="84">
        <f>IFERROR($F79*$AE79,"")</f>
        <v/>
      </c>
      <c r="AG79" s="83" t="n"/>
      <c r="AH79" s="65" t="n"/>
    </row>
    <row r="80">
      <c r="B80" s="78" t="inlineStr">
        <is>
          <t>T. 77</t>
        </is>
      </c>
      <c r="C80" s="61">
        <f>IFERROR('01_Key Requirements &amp; Use Cases'!$C67,"")</f>
        <v/>
      </c>
      <c r="D80" s="62">
        <f>IFERROR('01_Key Requirements &amp; Use Cases'!$D67,"")</f>
        <v/>
      </c>
      <c r="E80" s="82" t="n"/>
      <c r="F80" s="30" t="n"/>
      <c r="G80" s="78" t="n"/>
      <c r="H80" s="79" t="n"/>
      <c r="I80" s="74" t="n"/>
      <c r="J80" s="74" t="n"/>
      <c r="K80" s="74" t="n"/>
      <c r="L80" s="74" t="n"/>
      <c r="M80" s="76">
        <f>IFERROR(AVERAGE($G80,$I80,$J80,$K80,$L80),"")</f>
        <v/>
      </c>
      <c r="N80" s="76">
        <f>IFERROR($F80*$M80,"")</f>
        <v/>
      </c>
      <c r="O80" s="83" t="n"/>
      <c r="P80" s="77" t="n"/>
      <c r="Q80" s="67" t="n"/>
      <c r="R80" s="67" t="n"/>
      <c r="S80" s="67" t="n"/>
      <c r="T80" s="67" t="n"/>
      <c r="U80" s="67" t="n"/>
      <c r="V80" s="84">
        <f>IFERROR(AVERAGE($Q80,$R80,$S80,$T80,$U80),"")</f>
        <v/>
      </c>
      <c r="W80" s="122" t="n"/>
      <c r="X80" s="83" t="n"/>
      <c r="Y80" s="65" t="n"/>
      <c r="Z80" s="67" t="n"/>
      <c r="AA80" s="67" t="n"/>
      <c r="AB80" s="67" t="n"/>
      <c r="AC80" s="67" t="n"/>
      <c r="AD80" s="67" t="n"/>
      <c r="AE80" s="84">
        <f>IFERROR(AVERAGE($Z80,$AA80,$AB80,$AC80,$AD80),"")</f>
        <v/>
      </c>
      <c r="AF80" s="84">
        <f>IFERROR($F80*$AE80,"")</f>
        <v/>
      </c>
      <c r="AG80" s="83" t="n"/>
      <c r="AH80" s="65" t="n"/>
    </row>
    <row r="81">
      <c r="B81" s="78" t="inlineStr">
        <is>
          <t>T. 78</t>
        </is>
      </c>
      <c r="C81" s="61">
        <f>IFERROR('01_Key Requirements &amp; Use Cases'!$C68,"")</f>
        <v/>
      </c>
      <c r="D81" s="62">
        <f>IFERROR('01_Key Requirements &amp; Use Cases'!$D68,"")</f>
        <v/>
      </c>
      <c r="E81" s="82" t="n"/>
      <c r="F81" s="30" t="n"/>
      <c r="G81" s="78" t="n"/>
      <c r="H81" s="79" t="n"/>
      <c r="I81" s="74" t="n"/>
      <c r="J81" s="74" t="n"/>
      <c r="K81" s="74" t="n"/>
      <c r="L81" s="74" t="n"/>
      <c r="M81" s="76">
        <f>IFERROR(AVERAGE($G81,$I81,$J81,$K81,$L81),"")</f>
        <v/>
      </c>
      <c r="N81" s="76">
        <f>IFERROR($F81*$M81,"")</f>
        <v/>
      </c>
      <c r="O81" s="83" t="n"/>
      <c r="P81" s="77" t="n"/>
      <c r="Q81" s="67" t="n"/>
      <c r="R81" s="67" t="n"/>
      <c r="S81" s="67" t="n"/>
      <c r="T81" s="67" t="n"/>
      <c r="U81" s="67" t="n"/>
      <c r="V81" s="84">
        <f>IFERROR(AVERAGE($Q81,$R81,$S81,$T81,$U81),"")</f>
        <v/>
      </c>
      <c r="W81" s="122" t="n"/>
      <c r="X81" s="83" t="n"/>
      <c r="Y81" s="65" t="n"/>
      <c r="Z81" s="67" t="n"/>
      <c r="AA81" s="67" t="n"/>
      <c r="AB81" s="67" t="n"/>
      <c r="AC81" s="67" t="n"/>
      <c r="AD81" s="67" t="n"/>
      <c r="AE81" s="84">
        <f>IFERROR(AVERAGE($Z81,$AA81,$AB81,$AC81,$AD81),"")</f>
        <v/>
      </c>
      <c r="AF81" s="84">
        <f>IFERROR($F81*$AE81,"")</f>
        <v/>
      </c>
      <c r="AG81" s="83" t="n"/>
      <c r="AH81" s="65" t="n"/>
    </row>
    <row r="82">
      <c r="B82" s="78" t="inlineStr">
        <is>
          <t>T. 79</t>
        </is>
      </c>
      <c r="C82" s="61">
        <f>IFERROR('01_Key Requirements &amp; Use Cases'!$C69,"")</f>
        <v/>
      </c>
      <c r="D82" s="62">
        <f>IFERROR('01_Key Requirements &amp; Use Cases'!$D69,"")</f>
        <v/>
      </c>
      <c r="E82" s="82" t="n"/>
      <c r="F82" s="30" t="n"/>
      <c r="G82" s="78" t="n"/>
      <c r="H82" s="79" t="n"/>
      <c r="I82" s="74" t="n"/>
      <c r="J82" s="74" t="n"/>
      <c r="K82" s="74" t="n"/>
      <c r="L82" s="74" t="n"/>
      <c r="M82" s="76">
        <f>IFERROR(AVERAGE($G82,$I82,$J82,$K82,$L82),"")</f>
        <v/>
      </c>
      <c r="N82" s="76">
        <f>IFERROR($F82*$M82,"")</f>
        <v/>
      </c>
      <c r="O82" s="83" t="n"/>
      <c r="P82" s="77" t="n"/>
      <c r="Q82" s="67" t="n"/>
      <c r="R82" s="67" t="n"/>
      <c r="S82" s="67" t="n"/>
      <c r="T82" s="67" t="n"/>
      <c r="U82" s="67" t="n"/>
      <c r="V82" s="84">
        <f>IFERROR(AVERAGE($Q82,$R82,$S82,$T82,$U82),"")</f>
        <v/>
      </c>
      <c r="W82" s="122" t="n"/>
      <c r="X82" s="83" t="n"/>
      <c r="Y82" s="65" t="n"/>
      <c r="Z82" s="67" t="n"/>
      <c r="AA82" s="67" t="n"/>
      <c r="AB82" s="67" t="n"/>
      <c r="AC82" s="67" t="n"/>
      <c r="AD82" s="67" t="n"/>
      <c r="AE82" s="84">
        <f>IFERROR(AVERAGE($Z82,$AA82,$AB82,$AC82,$AD82),"")</f>
        <v/>
      </c>
      <c r="AF82" s="84">
        <f>IFERROR($F82*$AE82,"")</f>
        <v/>
      </c>
      <c r="AG82" s="83" t="n"/>
      <c r="AH82" s="65" t="n"/>
    </row>
    <row r="83">
      <c r="B83" s="78" t="inlineStr">
        <is>
          <t>T. 80</t>
        </is>
      </c>
      <c r="C83" s="61">
        <f>IFERROR('01_Key Requirements &amp; Use Cases'!$C70,"")</f>
        <v/>
      </c>
      <c r="D83" s="62">
        <f>IFERROR('01_Key Requirements &amp; Use Cases'!$D70,"")</f>
        <v/>
      </c>
      <c r="E83" s="82" t="n"/>
      <c r="F83" s="30" t="n"/>
      <c r="G83" s="78" t="n"/>
      <c r="H83" s="79" t="n"/>
      <c r="I83" s="74" t="n"/>
      <c r="J83" s="74" t="n"/>
      <c r="K83" s="74" t="n"/>
      <c r="L83" s="74" t="n"/>
      <c r="M83" s="76">
        <f>IFERROR(AVERAGE($G83,$I83,$J83,$K83,$L83),"")</f>
        <v/>
      </c>
      <c r="N83" s="76">
        <f>IFERROR($F83*$M83,"")</f>
        <v/>
      </c>
      <c r="O83" s="83" t="n"/>
      <c r="P83" s="77" t="n"/>
      <c r="Q83" s="67" t="n"/>
      <c r="R83" s="67" t="n"/>
      <c r="S83" s="67" t="n"/>
      <c r="T83" s="67" t="n"/>
      <c r="U83" s="67" t="n"/>
      <c r="V83" s="84">
        <f>IFERROR(AVERAGE($Q83,$R83,$S83,$T83,$U83),"")</f>
        <v/>
      </c>
      <c r="W83" s="122" t="n"/>
      <c r="X83" s="83" t="n"/>
      <c r="Y83" s="65" t="n"/>
      <c r="Z83" s="67" t="n"/>
      <c r="AA83" s="67" t="n"/>
      <c r="AB83" s="67" t="n"/>
      <c r="AC83" s="67" t="n"/>
      <c r="AD83" s="67" t="n"/>
      <c r="AE83" s="84">
        <f>IFERROR(AVERAGE($Z83,$AA83,$AB83,$AC83,$AD83),"")</f>
        <v/>
      </c>
      <c r="AF83" s="84">
        <f>IFERROR($F83*$AE83,"")</f>
        <v/>
      </c>
      <c r="AG83" s="83" t="n"/>
      <c r="AH83" s="65" t="n"/>
    </row>
    <row r="84">
      <c r="B84" s="78" t="inlineStr">
        <is>
          <t>T. 81</t>
        </is>
      </c>
      <c r="C84" s="61">
        <f>IFERROR('01_Key Requirements &amp; Use Cases'!$C71,"")</f>
        <v/>
      </c>
      <c r="D84" s="62">
        <f>IFERROR('01_Key Requirements &amp; Use Cases'!$D71,"")</f>
        <v/>
      </c>
      <c r="E84" s="82" t="n"/>
      <c r="F84" s="30" t="n"/>
      <c r="G84" s="78" t="n"/>
      <c r="H84" s="79" t="n"/>
      <c r="I84" s="74" t="n"/>
      <c r="J84" s="74" t="n"/>
      <c r="K84" s="74" t="n"/>
      <c r="L84" s="74" t="n"/>
      <c r="M84" s="76">
        <f>IFERROR(AVERAGE($G84,$I84,$J84,$K84,$L84),"")</f>
        <v/>
      </c>
      <c r="N84" s="76">
        <f>IFERROR($F84*$M84,"")</f>
        <v/>
      </c>
      <c r="O84" s="83" t="n"/>
      <c r="P84" s="77" t="n"/>
      <c r="Q84" s="67" t="n"/>
      <c r="R84" s="67" t="n"/>
      <c r="S84" s="67" t="n"/>
      <c r="T84" s="67" t="n"/>
      <c r="U84" s="67" t="n"/>
      <c r="V84" s="84">
        <f>IFERROR(AVERAGE($Q84,$R84,$S84,$T84,$U84),"")</f>
        <v/>
      </c>
      <c r="W84" s="122" t="n"/>
      <c r="X84" s="83" t="n"/>
      <c r="Y84" s="65" t="n"/>
      <c r="Z84" s="67" t="n"/>
      <c r="AA84" s="67" t="n"/>
      <c r="AB84" s="67" t="n"/>
      <c r="AC84" s="67" t="n"/>
      <c r="AD84" s="67" t="n"/>
      <c r="AE84" s="84">
        <f>IFERROR(AVERAGE($Z84,$AA84,$AB84,$AC84,$AD84),"")</f>
        <v/>
      </c>
      <c r="AF84" s="84">
        <f>IFERROR($F84*$AE84,"")</f>
        <v/>
      </c>
      <c r="AG84" s="83" t="n"/>
      <c r="AH84" s="65" t="n"/>
    </row>
    <row r="85">
      <c r="B85" s="78" t="inlineStr">
        <is>
          <t>T. 82</t>
        </is>
      </c>
      <c r="C85" s="61">
        <f>IFERROR('01_Key Requirements &amp; Use Cases'!$C72,"")</f>
        <v/>
      </c>
      <c r="D85" s="62">
        <f>IFERROR('01_Key Requirements &amp; Use Cases'!$D72,"")</f>
        <v/>
      </c>
      <c r="E85" s="82" t="n"/>
      <c r="F85" s="30" t="n"/>
      <c r="G85" s="78" t="n"/>
      <c r="H85" s="79" t="n"/>
      <c r="I85" s="74" t="n"/>
      <c r="J85" s="74" t="n"/>
      <c r="K85" s="74" t="n"/>
      <c r="L85" s="74" t="n"/>
      <c r="M85" s="76">
        <f>IFERROR(AVERAGE($G85,$I85,$J85,$K85,$L85),"")</f>
        <v/>
      </c>
      <c r="N85" s="76">
        <f>IFERROR($F85*$M85,"")</f>
        <v/>
      </c>
      <c r="O85" s="83" t="n"/>
      <c r="P85" s="77" t="n"/>
      <c r="Q85" s="67" t="n"/>
      <c r="R85" s="67" t="n"/>
      <c r="S85" s="67" t="n"/>
      <c r="T85" s="67" t="n"/>
      <c r="U85" s="67" t="n"/>
      <c r="V85" s="84">
        <f>IFERROR(AVERAGE($Q85,$R85,$S85,$T85,$U85),"")</f>
        <v/>
      </c>
      <c r="W85" s="122" t="n"/>
      <c r="X85" s="83" t="n"/>
      <c r="Y85" s="65" t="n"/>
      <c r="Z85" s="67" t="n"/>
      <c r="AA85" s="67" t="n"/>
      <c r="AB85" s="67" t="n"/>
      <c r="AC85" s="67" t="n"/>
      <c r="AD85" s="67" t="n"/>
      <c r="AE85" s="84">
        <f>IFERROR(AVERAGE($Z85,$AA85,$AB85,$AC85,$AD85),"")</f>
        <v/>
      </c>
      <c r="AF85" s="84">
        <f>IFERROR($F85*$AE85,"")</f>
        <v/>
      </c>
      <c r="AG85" s="83" t="n"/>
      <c r="AH85" s="65" t="n"/>
    </row>
    <row r="86">
      <c r="B86" s="78" t="inlineStr">
        <is>
          <t>T. 83</t>
        </is>
      </c>
      <c r="C86" s="61">
        <f>IFERROR('01_Key Requirements &amp; Use Cases'!$C73,"")</f>
        <v/>
      </c>
      <c r="D86" s="62">
        <f>IFERROR('01_Key Requirements &amp; Use Cases'!$D73,"")</f>
        <v/>
      </c>
      <c r="E86" s="82" t="n"/>
      <c r="F86" s="30" t="n"/>
      <c r="G86" s="78" t="n"/>
      <c r="H86" s="79" t="n"/>
      <c r="I86" s="74" t="n"/>
      <c r="J86" s="74" t="n"/>
      <c r="K86" s="74" t="n"/>
      <c r="L86" s="74" t="n"/>
      <c r="M86" s="76">
        <f>IFERROR(AVERAGE($G86,$I86,$J86,$K86,$L86),"")</f>
        <v/>
      </c>
      <c r="N86" s="76">
        <f>IFERROR($F86*$M86,"")</f>
        <v/>
      </c>
      <c r="O86" s="83" t="n"/>
      <c r="P86" s="77" t="n"/>
      <c r="Q86" s="67" t="n"/>
      <c r="R86" s="67" t="n"/>
      <c r="S86" s="67" t="n"/>
      <c r="T86" s="67" t="n"/>
      <c r="U86" s="67" t="n"/>
      <c r="V86" s="84">
        <f>IFERROR(AVERAGE($Q86,$R86,$S86,$T86,$U86),"")</f>
        <v/>
      </c>
      <c r="W86" s="122" t="n"/>
      <c r="X86" s="83" t="n"/>
      <c r="Y86" s="65" t="n"/>
      <c r="Z86" s="67" t="n"/>
      <c r="AA86" s="67" t="n"/>
      <c r="AB86" s="67" t="n"/>
      <c r="AC86" s="67" t="n"/>
      <c r="AD86" s="67" t="n"/>
      <c r="AE86" s="84">
        <f>IFERROR(AVERAGE($Z86,$AA86,$AB86,$AC86,$AD86),"")</f>
        <v/>
      </c>
      <c r="AF86" s="84">
        <f>IFERROR($F86*$AE86,"")</f>
        <v/>
      </c>
      <c r="AG86" s="83" t="n"/>
      <c r="AH86" s="65" t="n"/>
    </row>
    <row r="87">
      <c r="B87" s="78" t="inlineStr">
        <is>
          <t>T. 84</t>
        </is>
      </c>
      <c r="C87" s="61">
        <f>IFERROR('01_Key Requirements &amp; Use Cases'!$C74,"")</f>
        <v/>
      </c>
      <c r="D87" s="62">
        <f>IFERROR('01_Key Requirements &amp; Use Cases'!$D74,"")</f>
        <v/>
      </c>
      <c r="E87" s="82" t="n"/>
      <c r="F87" s="30" t="n"/>
      <c r="G87" s="78" t="n"/>
      <c r="H87" s="79" t="n"/>
      <c r="I87" s="74" t="n"/>
      <c r="J87" s="74" t="n"/>
      <c r="K87" s="74" t="n"/>
      <c r="L87" s="74" t="n"/>
      <c r="M87" s="76">
        <f>IFERROR(AVERAGE($G87,$I87,$J87,$K87,$L87),"")</f>
        <v/>
      </c>
      <c r="N87" s="76">
        <f>IFERROR($F87*$M87,"")</f>
        <v/>
      </c>
      <c r="O87" s="83" t="n"/>
      <c r="P87" s="77" t="n"/>
      <c r="Q87" s="67" t="n"/>
      <c r="R87" s="67" t="n"/>
      <c r="S87" s="67" t="n"/>
      <c r="T87" s="67" t="n"/>
      <c r="U87" s="67" t="n"/>
      <c r="V87" s="84">
        <f>IFERROR(AVERAGE($Q87,$R87,$S87,$T87,$U87),"")</f>
        <v/>
      </c>
      <c r="W87" s="122" t="n"/>
      <c r="X87" s="83" t="n"/>
      <c r="Y87" s="65" t="n"/>
      <c r="Z87" s="67" t="n"/>
      <c r="AA87" s="67" t="n"/>
      <c r="AB87" s="67" t="n"/>
      <c r="AC87" s="67" t="n"/>
      <c r="AD87" s="67" t="n"/>
      <c r="AE87" s="84">
        <f>IFERROR(AVERAGE($Z87,$AA87,$AB87,$AC87,$AD87),"")</f>
        <v/>
      </c>
      <c r="AF87" s="84">
        <f>IFERROR($F87*$AE87,"")</f>
        <v/>
      </c>
      <c r="AG87" s="83" t="n"/>
      <c r="AH87" s="65" t="n"/>
    </row>
    <row r="88">
      <c r="B88" s="78" t="inlineStr">
        <is>
          <t>T. 85</t>
        </is>
      </c>
      <c r="C88" s="61">
        <f>IFERROR('01_Key Requirements &amp; Use Cases'!$C75,"")</f>
        <v/>
      </c>
      <c r="D88" s="62">
        <f>IFERROR('01_Key Requirements &amp; Use Cases'!$D75,"")</f>
        <v/>
      </c>
      <c r="E88" s="82" t="n"/>
      <c r="F88" s="30" t="n"/>
      <c r="G88" s="78" t="n"/>
      <c r="H88" s="79" t="n"/>
      <c r="I88" s="74" t="n"/>
      <c r="J88" s="74" t="n"/>
      <c r="K88" s="74" t="n"/>
      <c r="L88" s="74" t="n"/>
      <c r="M88" s="76">
        <f>IFERROR(AVERAGE($G88,$I88,$J88,$K88,$L88),"")</f>
        <v/>
      </c>
      <c r="N88" s="76">
        <f>IFERROR($F88*$M88,"")</f>
        <v/>
      </c>
      <c r="O88" s="83" t="n"/>
      <c r="P88" s="77" t="n"/>
      <c r="Q88" s="67" t="n"/>
      <c r="R88" s="67" t="n"/>
      <c r="S88" s="67" t="n"/>
      <c r="T88" s="67" t="n"/>
      <c r="U88" s="67" t="n"/>
      <c r="V88" s="84">
        <f>IFERROR(AVERAGE($Q88,$R88,$S88,$T88,$U88),"")</f>
        <v/>
      </c>
      <c r="W88" s="122" t="n"/>
      <c r="X88" s="83" t="n"/>
      <c r="Y88" s="65" t="n"/>
      <c r="Z88" s="67" t="n"/>
      <c r="AA88" s="67" t="n"/>
      <c r="AB88" s="67" t="n"/>
      <c r="AC88" s="67" t="n"/>
      <c r="AD88" s="67" t="n"/>
      <c r="AE88" s="84">
        <f>IFERROR(AVERAGE($Z88,$AA88,$AB88,$AC88,$AD88),"")</f>
        <v/>
      </c>
      <c r="AF88" s="84">
        <f>IFERROR($F88*$AE88,"")</f>
        <v/>
      </c>
      <c r="AG88" s="83" t="n"/>
      <c r="AH88" s="65" t="n"/>
    </row>
    <row r="89">
      <c r="B89" s="78" t="inlineStr">
        <is>
          <t>T. 86</t>
        </is>
      </c>
      <c r="C89" s="61">
        <f>IFERROR('01_Key Requirements &amp; Use Cases'!$C76,"")</f>
        <v/>
      </c>
      <c r="D89" s="62">
        <f>IFERROR('01_Key Requirements &amp; Use Cases'!$D76,"")</f>
        <v/>
      </c>
      <c r="E89" s="82" t="n"/>
      <c r="F89" s="30" t="n"/>
      <c r="G89" s="78" t="n"/>
      <c r="H89" s="79" t="n"/>
      <c r="I89" s="74" t="n"/>
      <c r="J89" s="74" t="n"/>
      <c r="K89" s="74" t="n"/>
      <c r="L89" s="74" t="n"/>
      <c r="M89" s="76">
        <f>IFERROR(AVERAGE($G89,$I89,$J89,$K89,$L89),"")</f>
        <v/>
      </c>
      <c r="N89" s="76">
        <f>IFERROR($F89*$M89,"")</f>
        <v/>
      </c>
      <c r="O89" s="83" t="n"/>
      <c r="P89" s="77" t="n"/>
      <c r="Q89" s="67" t="n"/>
      <c r="R89" s="67" t="n"/>
      <c r="S89" s="67" t="n"/>
      <c r="T89" s="67" t="n"/>
      <c r="U89" s="67" t="n"/>
      <c r="V89" s="84">
        <f>IFERROR(AVERAGE($Q89,$R89,$S89,$T89,$U89),"")</f>
        <v/>
      </c>
      <c r="W89" s="122" t="n"/>
      <c r="X89" s="83" t="n"/>
      <c r="Y89" s="65" t="n"/>
      <c r="Z89" s="67" t="n"/>
      <c r="AA89" s="67" t="n"/>
      <c r="AB89" s="67" t="n"/>
      <c r="AC89" s="67" t="n"/>
      <c r="AD89" s="67" t="n"/>
      <c r="AE89" s="84">
        <f>IFERROR(AVERAGE($Z89,$AA89,$AB89,$AC89,$AD89),"")</f>
        <v/>
      </c>
      <c r="AF89" s="84">
        <f>IFERROR($F89*$AE89,"")</f>
        <v/>
      </c>
      <c r="AG89" s="83" t="n"/>
      <c r="AH89" s="65" t="n"/>
    </row>
    <row r="90">
      <c r="B90" s="78" t="inlineStr">
        <is>
          <t>T. 87</t>
        </is>
      </c>
      <c r="C90" s="61">
        <f>IFERROR('01_Key Requirements &amp; Use Cases'!$C77,"")</f>
        <v/>
      </c>
      <c r="D90" s="62">
        <f>IFERROR('01_Key Requirements &amp; Use Cases'!$D77,"")</f>
        <v/>
      </c>
      <c r="E90" s="82" t="n"/>
      <c r="F90" s="30" t="n"/>
      <c r="G90" s="78" t="n"/>
      <c r="H90" s="79" t="n"/>
      <c r="I90" s="74" t="n"/>
      <c r="J90" s="74" t="n"/>
      <c r="K90" s="74" t="n"/>
      <c r="L90" s="74" t="n"/>
      <c r="M90" s="76">
        <f>IFERROR(AVERAGE($G90,$I90,$J90,$K90,$L90),"")</f>
        <v/>
      </c>
      <c r="N90" s="76">
        <f>IFERROR($F90*$M90,"")</f>
        <v/>
      </c>
      <c r="O90" s="83" t="n"/>
      <c r="P90" s="77" t="n"/>
      <c r="Q90" s="67" t="n"/>
      <c r="R90" s="67" t="n"/>
      <c r="S90" s="67" t="n"/>
      <c r="T90" s="67" t="n"/>
      <c r="U90" s="67" t="n"/>
      <c r="V90" s="84">
        <f>IFERROR(AVERAGE($Q90,$R90,$S90,$T90,$U90),"")</f>
        <v/>
      </c>
      <c r="W90" s="122" t="n"/>
      <c r="X90" s="83" t="n"/>
      <c r="Y90" s="65" t="n"/>
      <c r="Z90" s="67" t="n"/>
      <c r="AA90" s="67" t="n"/>
      <c r="AB90" s="67" t="n"/>
      <c r="AC90" s="67" t="n"/>
      <c r="AD90" s="67" t="n"/>
      <c r="AE90" s="84">
        <f>IFERROR(AVERAGE($Z90,$AA90,$AB90,$AC90,$AD90),"")</f>
        <v/>
      </c>
      <c r="AF90" s="84">
        <f>IFERROR($F90*$AE90,"")</f>
        <v/>
      </c>
      <c r="AG90" s="83" t="n"/>
      <c r="AH90" s="65" t="n"/>
    </row>
    <row r="91">
      <c r="B91" s="78" t="inlineStr">
        <is>
          <t>T. 88</t>
        </is>
      </c>
      <c r="C91" s="61">
        <f>IFERROR('01_Key Requirements &amp; Use Cases'!$C78,"")</f>
        <v/>
      </c>
      <c r="D91" s="62">
        <f>IFERROR('01_Key Requirements &amp; Use Cases'!$D78,"")</f>
        <v/>
      </c>
      <c r="E91" s="82" t="n"/>
      <c r="F91" s="30" t="n"/>
      <c r="G91" s="78" t="n"/>
      <c r="H91" s="79" t="n"/>
      <c r="I91" s="74" t="n"/>
      <c r="J91" s="74" t="n"/>
      <c r="K91" s="74" t="n"/>
      <c r="L91" s="74" t="n"/>
      <c r="M91" s="76">
        <f>IFERROR(AVERAGE($G91,$I91,$J91,$K91,$L91),"")</f>
        <v/>
      </c>
      <c r="N91" s="76">
        <f>IFERROR($F91*$M91,"")</f>
        <v/>
      </c>
      <c r="O91" s="83" t="n"/>
      <c r="P91" s="77" t="n"/>
      <c r="Q91" s="67" t="n"/>
      <c r="R91" s="67" t="n"/>
      <c r="S91" s="67" t="n"/>
      <c r="T91" s="67" t="n"/>
      <c r="U91" s="67" t="n"/>
      <c r="V91" s="84">
        <f>IFERROR(AVERAGE($Q91,$R91,$S91,$T91,$U91),"")</f>
        <v/>
      </c>
      <c r="W91" s="122" t="n"/>
      <c r="X91" s="83" t="n"/>
      <c r="Y91" s="65" t="n"/>
      <c r="Z91" s="67" t="n"/>
      <c r="AA91" s="67" t="n"/>
      <c r="AB91" s="67" t="n"/>
      <c r="AC91" s="67" t="n"/>
      <c r="AD91" s="67" t="n"/>
      <c r="AE91" s="84">
        <f>IFERROR(AVERAGE($Z91,$AA91,$AB91,$AC91,$AD91),"")</f>
        <v/>
      </c>
      <c r="AF91" s="84">
        <f>IFERROR($F91*$AE91,"")</f>
        <v/>
      </c>
      <c r="AG91" s="83" t="n"/>
      <c r="AH91" s="65" t="n"/>
    </row>
    <row r="92">
      <c r="B92" s="78" t="inlineStr">
        <is>
          <t>T. 89</t>
        </is>
      </c>
      <c r="C92" s="61">
        <f>IFERROR('01_Key Requirements &amp; Use Cases'!$C79,"")</f>
        <v/>
      </c>
      <c r="D92" s="62">
        <f>IFERROR('01_Key Requirements &amp; Use Cases'!$D79,"")</f>
        <v/>
      </c>
      <c r="E92" s="82" t="n"/>
      <c r="F92" s="30" t="n"/>
      <c r="G92" s="78" t="n"/>
      <c r="H92" s="79" t="n"/>
      <c r="I92" s="74" t="n"/>
      <c r="J92" s="74" t="n"/>
      <c r="K92" s="74" t="n"/>
      <c r="L92" s="74" t="n"/>
      <c r="M92" s="76">
        <f>IFERROR(AVERAGE($G92,$I92,$J92,$K92,$L92),"")</f>
        <v/>
      </c>
      <c r="N92" s="76">
        <f>IFERROR($F92*$M92,"")</f>
        <v/>
      </c>
      <c r="O92" s="83" t="n"/>
      <c r="P92" s="77" t="n"/>
      <c r="Q92" s="67" t="n"/>
      <c r="R92" s="67" t="n"/>
      <c r="S92" s="67" t="n"/>
      <c r="T92" s="67" t="n"/>
      <c r="U92" s="67" t="n"/>
      <c r="V92" s="84">
        <f>IFERROR(AVERAGE($Q92,$R92,$S92,$T92,$U92),"")</f>
        <v/>
      </c>
      <c r="W92" s="122" t="n"/>
      <c r="X92" s="83" t="n"/>
      <c r="Y92" s="65" t="n"/>
      <c r="Z92" s="67" t="n"/>
      <c r="AA92" s="67" t="n"/>
      <c r="AB92" s="67" t="n"/>
      <c r="AC92" s="67" t="n"/>
      <c r="AD92" s="67" t="n"/>
      <c r="AE92" s="84">
        <f>IFERROR(AVERAGE($Z92,$AA92,$AB92,$AC92,$AD92),"")</f>
        <v/>
      </c>
      <c r="AF92" s="84">
        <f>IFERROR($F92*$AE92,"")</f>
        <v/>
      </c>
      <c r="AG92" s="83" t="n"/>
      <c r="AH92" s="65" t="n"/>
    </row>
    <row r="93">
      <c r="B93" s="78" t="inlineStr">
        <is>
          <t>T. 90</t>
        </is>
      </c>
      <c r="C93" s="61">
        <f>IFERROR('01_Key Requirements &amp; Use Cases'!$C80,"")</f>
        <v/>
      </c>
      <c r="D93" s="62">
        <f>IFERROR('01_Key Requirements &amp; Use Cases'!$D80,"")</f>
        <v/>
      </c>
      <c r="E93" s="82" t="n"/>
      <c r="F93" s="30" t="n"/>
      <c r="G93" s="78" t="n"/>
      <c r="H93" s="79" t="n"/>
      <c r="I93" s="74" t="n"/>
      <c r="J93" s="74" t="n"/>
      <c r="K93" s="74" t="n"/>
      <c r="L93" s="74" t="n"/>
      <c r="M93" s="76">
        <f>IFERROR(AVERAGE($G93,$I93,$J93,$K93,$L93),"")</f>
        <v/>
      </c>
      <c r="N93" s="76">
        <f>IFERROR($F93*$M93,"")</f>
        <v/>
      </c>
      <c r="O93" s="83" t="n"/>
      <c r="P93" s="77" t="n"/>
      <c r="Q93" s="67" t="n"/>
      <c r="R93" s="67" t="n"/>
      <c r="S93" s="67" t="n"/>
      <c r="T93" s="67" t="n"/>
      <c r="U93" s="67" t="n"/>
      <c r="V93" s="84">
        <f>IFERROR(AVERAGE($Q93,$R93,$S93,$T93,$U93),"")</f>
        <v/>
      </c>
      <c r="W93" s="122" t="n"/>
      <c r="X93" s="83" t="n"/>
      <c r="Y93" s="65" t="n"/>
      <c r="Z93" s="67" t="n"/>
      <c r="AA93" s="67" t="n"/>
      <c r="AB93" s="67" t="n"/>
      <c r="AC93" s="67" t="n"/>
      <c r="AD93" s="67" t="n"/>
      <c r="AE93" s="84">
        <f>IFERROR(AVERAGE($Z93,$AA93,$AB93,$AC93,$AD93),"")</f>
        <v/>
      </c>
      <c r="AF93" s="84">
        <f>IFERROR($F93*$AE93,"")</f>
        <v/>
      </c>
      <c r="AG93" s="83" t="n"/>
      <c r="AH93" s="65" t="n"/>
    </row>
    <row r="94">
      <c r="B94" s="78" t="inlineStr">
        <is>
          <t>T. 91</t>
        </is>
      </c>
      <c r="C94" s="61">
        <f>IFERROR('01_Key Requirements &amp; Use Cases'!$C81,"")</f>
        <v/>
      </c>
      <c r="D94" s="62">
        <f>IFERROR('01_Key Requirements &amp; Use Cases'!$D81,"")</f>
        <v/>
      </c>
      <c r="E94" s="82" t="n"/>
      <c r="F94" s="30" t="n"/>
      <c r="G94" s="78" t="n"/>
      <c r="H94" s="79" t="n"/>
      <c r="I94" s="74" t="n"/>
      <c r="J94" s="74" t="n"/>
      <c r="K94" s="74" t="n"/>
      <c r="L94" s="74" t="n"/>
      <c r="M94" s="76">
        <f>IFERROR(AVERAGE($G94,$I94,$J94,$K94,$L94),"")</f>
        <v/>
      </c>
      <c r="N94" s="76">
        <f>IFERROR($F94*$M94,"")</f>
        <v/>
      </c>
      <c r="O94" s="83" t="n"/>
      <c r="P94" s="77" t="n"/>
      <c r="Q94" s="67" t="n"/>
      <c r="R94" s="67" t="n"/>
      <c r="S94" s="67" t="n"/>
      <c r="T94" s="67" t="n"/>
      <c r="U94" s="67" t="n"/>
      <c r="V94" s="84">
        <f>IFERROR(AVERAGE($Q94,$R94,$S94,$T94,$U94),"")</f>
        <v/>
      </c>
      <c r="W94" s="122" t="n"/>
      <c r="X94" s="83" t="n"/>
      <c r="Y94" s="65" t="n"/>
      <c r="Z94" s="67" t="n"/>
      <c r="AA94" s="67" t="n"/>
      <c r="AB94" s="67" t="n"/>
      <c r="AC94" s="67" t="n"/>
      <c r="AD94" s="67" t="n"/>
      <c r="AE94" s="84">
        <f>IFERROR(AVERAGE($Z94,$AA94,$AB94,$AC94,$AD94),"")</f>
        <v/>
      </c>
      <c r="AF94" s="84">
        <f>IFERROR($F94*$AE94,"")</f>
        <v/>
      </c>
      <c r="AG94" s="83" t="n"/>
      <c r="AH94" s="65" t="n"/>
    </row>
    <row r="95">
      <c r="B95" s="78" t="inlineStr">
        <is>
          <t>T. 92</t>
        </is>
      </c>
      <c r="C95" s="61">
        <f>IFERROR('01_Key Requirements &amp; Use Cases'!$C82,"")</f>
        <v/>
      </c>
      <c r="D95" s="62">
        <f>IFERROR('01_Key Requirements &amp; Use Cases'!$D82,"")</f>
        <v/>
      </c>
      <c r="E95" s="82" t="n"/>
      <c r="F95" s="30" t="n"/>
      <c r="G95" s="78" t="n"/>
      <c r="H95" s="79" t="n"/>
      <c r="I95" s="74" t="n"/>
      <c r="J95" s="74" t="n"/>
      <c r="K95" s="74" t="n"/>
      <c r="L95" s="74" t="n"/>
      <c r="M95" s="76">
        <f>IFERROR(AVERAGE($G95,$I95,$J95,$K95,$L95),"")</f>
        <v/>
      </c>
      <c r="N95" s="76">
        <f>IFERROR($F95*$M95,"")</f>
        <v/>
      </c>
      <c r="O95" s="83" t="n"/>
      <c r="P95" s="77" t="n"/>
      <c r="Q95" s="67" t="n"/>
      <c r="R95" s="67" t="n"/>
      <c r="S95" s="67" t="n"/>
      <c r="T95" s="67" t="n"/>
      <c r="U95" s="67" t="n"/>
      <c r="V95" s="84">
        <f>IFERROR(AVERAGE($Q95,$R95,$S95,$T95,$U95),"")</f>
        <v/>
      </c>
      <c r="W95" s="122" t="n"/>
      <c r="X95" s="83" t="n"/>
      <c r="Y95" s="65" t="n"/>
      <c r="Z95" s="67" t="n"/>
      <c r="AA95" s="67" t="n"/>
      <c r="AB95" s="67" t="n"/>
      <c r="AC95" s="67" t="n"/>
      <c r="AD95" s="67" t="n"/>
      <c r="AE95" s="84">
        <f>IFERROR(AVERAGE($Z95,$AA95,$AB95,$AC95,$AD95),"")</f>
        <v/>
      </c>
      <c r="AF95" s="84">
        <f>IFERROR($F95*$AE95,"")</f>
        <v/>
      </c>
      <c r="AG95" s="83" t="n"/>
      <c r="AH95" s="65" t="n"/>
    </row>
    <row r="96">
      <c r="B96" s="78" t="inlineStr">
        <is>
          <t>T. 93</t>
        </is>
      </c>
      <c r="C96" s="61">
        <f>IFERROR('01_Key Requirements &amp; Use Cases'!$C83,"")</f>
        <v/>
      </c>
      <c r="D96" s="62">
        <f>IFERROR('01_Key Requirements &amp; Use Cases'!$D83,"")</f>
        <v/>
      </c>
      <c r="E96" s="82" t="n"/>
      <c r="F96" s="30" t="n"/>
      <c r="G96" s="78" t="n"/>
      <c r="H96" s="79" t="n"/>
      <c r="I96" s="74" t="n"/>
      <c r="J96" s="74" t="n"/>
      <c r="K96" s="74" t="n"/>
      <c r="L96" s="74" t="n"/>
      <c r="M96" s="76">
        <f>IFERROR(AVERAGE($G96,$I96,$J96,$K96,$L96),"")</f>
        <v/>
      </c>
      <c r="N96" s="76">
        <f>IFERROR($F96*$M96,"")</f>
        <v/>
      </c>
      <c r="O96" s="83" t="n"/>
      <c r="P96" s="77" t="n"/>
      <c r="Q96" s="67" t="n"/>
      <c r="R96" s="67" t="n"/>
      <c r="S96" s="67" t="n"/>
      <c r="T96" s="67" t="n"/>
      <c r="U96" s="67" t="n"/>
      <c r="V96" s="84">
        <f>IFERROR(AVERAGE($Q96,$R96,$S96,$T96,$U96),"")</f>
        <v/>
      </c>
      <c r="W96" s="122" t="n"/>
      <c r="X96" s="83" t="n"/>
      <c r="Y96" s="65" t="n"/>
      <c r="Z96" s="67" t="n"/>
      <c r="AA96" s="67" t="n"/>
      <c r="AB96" s="67" t="n"/>
      <c r="AC96" s="67" t="n"/>
      <c r="AD96" s="67" t="n"/>
      <c r="AE96" s="84">
        <f>IFERROR(AVERAGE($Z96,$AA96,$AB96,$AC96,$AD96),"")</f>
        <v/>
      </c>
      <c r="AF96" s="84">
        <f>IFERROR($F96*$AE96,"")</f>
        <v/>
      </c>
      <c r="AG96" s="83" t="n"/>
      <c r="AH96" s="65" t="n"/>
    </row>
    <row r="97">
      <c r="B97" s="78" t="inlineStr">
        <is>
          <t>T. 94</t>
        </is>
      </c>
      <c r="C97" s="61">
        <f>IFERROR('01_Key Requirements &amp; Use Cases'!$C84,"")</f>
        <v/>
      </c>
      <c r="D97" s="62">
        <f>IFERROR('01_Key Requirements &amp; Use Cases'!$D84,"")</f>
        <v/>
      </c>
      <c r="E97" s="82" t="n"/>
      <c r="F97" s="30" t="n"/>
      <c r="G97" s="78" t="n"/>
      <c r="H97" s="79" t="n"/>
      <c r="I97" s="74" t="n"/>
      <c r="J97" s="74" t="n"/>
      <c r="K97" s="74" t="n"/>
      <c r="L97" s="74" t="n"/>
      <c r="M97" s="76">
        <f>IFERROR(AVERAGE($G97,$I97,$J97,$K97,$L97),"")</f>
        <v/>
      </c>
      <c r="N97" s="76">
        <f>IFERROR($F97*$M97,"")</f>
        <v/>
      </c>
      <c r="O97" s="83" t="n"/>
      <c r="P97" s="77" t="n"/>
      <c r="Q97" s="67" t="n"/>
      <c r="R97" s="67" t="n"/>
      <c r="S97" s="67" t="n"/>
      <c r="T97" s="67" t="n"/>
      <c r="U97" s="67" t="n"/>
      <c r="V97" s="84">
        <f>IFERROR(AVERAGE($Q97,$R97,$S97,$T97,$U97),"")</f>
        <v/>
      </c>
      <c r="W97" s="122" t="n"/>
      <c r="X97" s="83" t="n"/>
      <c r="Y97" s="65" t="n"/>
      <c r="Z97" s="67" t="n"/>
      <c r="AA97" s="67" t="n"/>
      <c r="AB97" s="67" t="n"/>
      <c r="AC97" s="67" t="n"/>
      <c r="AD97" s="67" t="n"/>
      <c r="AE97" s="84">
        <f>IFERROR(AVERAGE($Z97,$AA97,$AB97,$AC97,$AD97),"")</f>
        <v/>
      </c>
      <c r="AF97" s="84">
        <f>IFERROR($F97*$AE97,"")</f>
        <v/>
      </c>
      <c r="AG97" s="83" t="n"/>
      <c r="AH97" s="65" t="n"/>
    </row>
    <row r="98">
      <c r="B98" s="78" t="inlineStr">
        <is>
          <t>T. 95</t>
        </is>
      </c>
      <c r="C98" s="61">
        <f>IFERROR('01_Key Requirements &amp; Use Cases'!$C85,"")</f>
        <v/>
      </c>
      <c r="D98" s="62">
        <f>IFERROR('01_Key Requirements &amp; Use Cases'!$D85,"")</f>
        <v/>
      </c>
      <c r="E98" s="82" t="n"/>
      <c r="F98" s="30" t="n"/>
      <c r="G98" s="78" t="n"/>
      <c r="H98" s="79" t="n"/>
      <c r="I98" s="74" t="n"/>
      <c r="J98" s="74" t="n"/>
      <c r="K98" s="74" t="n"/>
      <c r="L98" s="74" t="n"/>
      <c r="M98" s="76">
        <f>IFERROR(AVERAGE($G98,$I98,$J98,$K98,$L98),"")</f>
        <v/>
      </c>
      <c r="N98" s="76">
        <f>IFERROR($F98*$M98,"")</f>
        <v/>
      </c>
      <c r="O98" s="83" t="n"/>
      <c r="P98" s="77" t="n"/>
      <c r="Q98" s="67" t="n"/>
      <c r="R98" s="67" t="n"/>
      <c r="S98" s="67" t="n"/>
      <c r="T98" s="67" t="n"/>
      <c r="U98" s="67" t="n"/>
      <c r="V98" s="84">
        <f>IFERROR(AVERAGE($Q98,$R98,$S98,$T98,$U98),"")</f>
        <v/>
      </c>
      <c r="W98" s="122" t="n"/>
      <c r="X98" s="83" t="n"/>
      <c r="Y98" s="65" t="n"/>
      <c r="Z98" s="67" t="n"/>
      <c r="AA98" s="67" t="n"/>
      <c r="AB98" s="67" t="n"/>
      <c r="AC98" s="67" t="n"/>
      <c r="AD98" s="67" t="n"/>
      <c r="AE98" s="84">
        <f>IFERROR(AVERAGE($Z98,$AA98,$AB98,$AC98,$AD98),"")</f>
        <v/>
      </c>
      <c r="AF98" s="84">
        <f>IFERROR($F98*$AE98,"")</f>
        <v/>
      </c>
      <c r="AG98" s="83" t="n"/>
      <c r="AH98" s="65" t="n"/>
    </row>
    <row r="99">
      <c r="B99" s="78" t="inlineStr">
        <is>
          <t>T. 96</t>
        </is>
      </c>
      <c r="C99" s="61">
        <f>IFERROR('01_Key Requirements &amp; Use Cases'!$C86,"")</f>
        <v/>
      </c>
      <c r="D99" s="62">
        <f>IFERROR('01_Key Requirements &amp; Use Cases'!$D86,"")</f>
        <v/>
      </c>
      <c r="E99" s="82" t="n"/>
      <c r="F99" s="30" t="n"/>
      <c r="G99" s="78" t="n"/>
      <c r="H99" s="79" t="n"/>
      <c r="I99" s="74" t="n"/>
      <c r="J99" s="74" t="n"/>
      <c r="K99" s="74" t="n"/>
      <c r="L99" s="74" t="n"/>
      <c r="M99" s="76">
        <f>IFERROR(AVERAGE($G99,$I99,$J99,$K99,$L99),"")</f>
        <v/>
      </c>
      <c r="N99" s="76">
        <f>IFERROR($F99*$M99,"")</f>
        <v/>
      </c>
      <c r="O99" s="83" t="n"/>
      <c r="P99" s="77" t="n"/>
      <c r="Q99" s="67" t="n"/>
      <c r="R99" s="67" t="n"/>
      <c r="S99" s="67" t="n"/>
      <c r="T99" s="67" t="n"/>
      <c r="U99" s="67" t="n"/>
      <c r="V99" s="84">
        <f>IFERROR(AVERAGE($Q99,$R99,$S99,$T99,$U99),"")</f>
        <v/>
      </c>
      <c r="W99" s="122" t="n"/>
      <c r="X99" s="83" t="n"/>
      <c r="Y99" s="65" t="n"/>
      <c r="Z99" s="67" t="n"/>
      <c r="AA99" s="67" t="n"/>
      <c r="AB99" s="67" t="n"/>
      <c r="AC99" s="67" t="n"/>
      <c r="AD99" s="67" t="n"/>
      <c r="AE99" s="84">
        <f>IFERROR(AVERAGE($Z99,$AA99,$AB99,$AC99,$AD99),"")</f>
        <v/>
      </c>
      <c r="AF99" s="84">
        <f>IFERROR($F99*$AE99,"")</f>
        <v/>
      </c>
      <c r="AG99" s="83" t="n"/>
      <c r="AH99" s="65" t="n"/>
    </row>
    <row r="100">
      <c r="B100" s="78" t="inlineStr">
        <is>
          <t>T. 97</t>
        </is>
      </c>
      <c r="C100" s="61">
        <f>IFERROR('01_Key Requirements &amp; Use Cases'!$C87,"")</f>
        <v/>
      </c>
      <c r="D100" s="62">
        <f>IFERROR('01_Key Requirements &amp; Use Cases'!$D87,"")</f>
        <v/>
      </c>
      <c r="E100" s="82" t="n"/>
      <c r="F100" s="30" t="n"/>
      <c r="G100" s="78" t="n"/>
      <c r="H100" s="79" t="n"/>
      <c r="I100" s="74" t="n"/>
      <c r="J100" s="74" t="n"/>
      <c r="K100" s="74" t="n"/>
      <c r="L100" s="74" t="n"/>
      <c r="M100" s="76">
        <f>IFERROR(AVERAGE($G100,$I100,$J100,$K100,$L100),"")</f>
        <v/>
      </c>
      <c r="N100" s="76">
        <f>IFERROR($F100*$M100,"")</f>
        <v/>
      </c>
      <c r="O100" s="83" t="n"/>
      <c r="P100" s="77" t="n"/>
      <c r="Q100" s="67" t="n"/>
      <c r="R100" s="67" t="n"/>
      <c r="S100" s="67" t="n"/>
      <c r="T100" s="67" t="n"/>
      <c r="U100" s="67" t="n"/>
      <c r="V100" s="84">
        <f>IFERROR(AVERAGE($Q100,$R100,$S100,$T100,$U100),"")</f>
        <v/>
      </c>
      <c r="W100" s="122" t="n"/>
      <c r="X100" s="83" t="n"/>
      <c r="Y100" s="65" t="n"/>
      <c r="Z100" s="67" t="n"/>
      <c r="AA100" s="67" t="n"/>
      <c r="AB100" s="67" t="n"/>
      <c r="AC100" s="67" t="n"/>
      <c r="AD100" s="67" t="n"/>
      <c r="AE100" s="84">
        <f>IFERROR(AVERAGE($Z100,$AA100,$AB100,$AC100,$AD100),"")</f>
        <v/>
      </c>
      <c r="AF100" s="84">
        <f>IFERROR($F100*$AE100,"")</f>
        <v/>
      </c>
      <c r="AG100" s="83" t="n"/>
      <c r="AH100" s="65" t="n"/>
    </row>
    <row r="101">
      <c r="B101" s="78" t="inlineStr">
        <is>
          <t>T. 98</t>
        </is>
      </c>
      <c r="C101" s="61">
        <f>IFERROR('01_Key Requirements &amp; Use Cases'!$C88,"")</f>
        <v/>
      </c>
      <c r="D101" s="62">
        <f>IFERROR('01_Key Requirements &amp; Use Cases'!$D88,"")</f>
        <v/>
      </c>
      <c r="E101" s="82" t="n"/>
      <c r="F101" s="30" t="n"/>
      <c r="G101" s="78" t="n"/>
      <c r="H101" s="79" t="n"/>
      <c r="I101" s="74" t="n"/>
      <c r="J101" s="74" t="n"/>
      <c r="K101" s="74" t="n"/>
      <c r="L101" s="74" t="n"/>
      <c r="M101" s="76">
        <f>IFERROR(AVERAGE($G101,$I101,$J101,$K101,$L101),"")</f>
        <v/>
      </c>
      <c r="N101" s="76">
        <f>IFERROR($F101*$M101,"")</f>
        <v/>
      </c>
      <c r="O101" s="83" t="n"/>
      <c r="P101" s="77" t="n"/>
      <c r="Q101" s="67" t="n"/>
      <c r="R101" s="67" t="n"/>
      <c r="S101" s="67" t="n"/>
      <c r="T101" s="67" t="n"/>
      <c r="U101" s="67" t="n"/>
      <c r="V101" s="84">
        <f>IFERROR(AVERAGE($Q101,$R101,$S101,$T101,$U101),"")</f>
        <v/>
      </c>
      <c r="W101" s="122" t="n"/>
      <c r="X101" s="83" t="n"/>
      <c r="Y101" s="65" t="n"/>
      <c r="Z101" s="67" t="n"/>
      <c r="AA101" s="67" t="n"/>
      <c r="AB101" s="67" t="n"/>
      <c r="AC101" s="67" t="n"/>
      <c r="AD101" s="67" t="n"/>
      <c r="AE101" s="84">
        <f>IFERROR(AVERAGE($Z101,$AA101,$AB101,$AC101,$AD101),"")</f>
        <v/>
      </c>
      <c r="AF101" s="84">
        <f>IFERROR($F101*$AE101,"")</f>
        <v/>
      </c>
      <c r="AG101" s="83" t="n"/>
      <c r="AH101" s="65" t="n"/>
    </row>
    <row r="102">
      <c r="B102" s="78" t="inlineStr">
        <is>
          <t>T. 99</t>
        </is>
      </c>
      <c r="C102" s="61">
        <f>IFERROR('01_Key Requirements &amp; Use Cases'!$C89,"")</f>
        <v/>
      </c>
      <c r="D102" s="62">
        <f>IFERROR('01_Key Requirements &amp; Use Cases'!$D89,"")</f>
        <v/>
      </c>
      <c r="E102" s="82" t="n"/>
      <c r="F102" s="30" t="n"/>
      <c r="G102" s="78" t="n"/>
      <c r="H102" s="79" t="n"/>
      <c r="I102" s="74" t="n"/>
      <c r="J102" s="74" t="n"/>
      <c r="K102" s="74" t="n"/>
      <c r="L102" s="74" t="n"/>
      <c r="M102" s="76">
        <f>IFERROR(AVERAGE($G102,$I102,$J102,$K102,$L102),"")</f>
        <v/>
      </c>
      <c r="N102" s="76">
        <f>IFERROR($F102*$M102,"")</f>
        <v/>
      </c>
      <c r="O102" s="83" t="n"/>
      <c r="P102" s="77" t="n"/>
      <c r="Q102" s="67" t="n"/>
      <c r="R102" s="67" t="n"/>
      <c r="S102" s="67" t="n"/>
      <c r="T102" s="67" t="n"/>
      <c r="U102" s="67" t="n"/>
      <c r="V102" s="84">
        <f>IFERROR(AVERAGE($Q102,$R102,$S102,$T102,$U102),"")</f>
        <v/>
      </c>
      <c r="W102" s="122" t="n"/>
      <c r="X102" s="83" t="n"/>
      <c r="Y102" s="65" t="n"/>
      <c r="Z102" s="67" t="n"/>
      <c r="AA102" s="67" t="n"/>
      <c r="AB102" s="67" t="n"/>
      <c r="AC102" s="67" t="n"/>
      <c r="AD102" s="67" t="n"/>
      <c r="AE102" s="84">
        <f>IFERROR(AVERAGE($Z102,$AA102,$AB102,$AC102,$AD102),"")</f>
        <v/>
      </c>
      <c r="AF102" s="84">
        <f>IFERROR($F102*$AE102,"")</f>
        <v/>
      </c>
      <c r="AG102" s="83" t="n"/>
      <c r="AH102" s="65" t="n"/>
    </row>
    <row r="103">
      <c r="B103" s="78" t="inlineStr">
        <is>
          <t>T. 100</t>
        </is>
      </c>
      <c r="C103" s="61">
        <f>IFERROR('01_Key Requirements &amp; Use Cases'!$C90,"")</f>
        <v/>
      </c>
      <c r="D103" s="62">
        <f>IFERROR('01_Key Requirements &amp; Use Cases'!$D90,"")</f>
        <v/>
      </c>
      <c r="E103" s="82" t="n"/>
      <c r="F103" s="30" t="n"/>
      <c r="G103" s="78" t="n"/>
      <c r="H103" s="79" t="n"/>
      <c r="I103" s="74" t="n"/>
      <c r="J103" s="74" t="n"/>
      <c r="K103" s="74" t="n"/>
      <c r="L103" s="74" t="n"/>
      <c r="M103" s="76">
        <f>IFERROR(AVERAGE($G103,$I103,$J103,$K103,$L103),"")</f>
        <v/>
      </c>
      <c r="N103" s="76">
        <f>IFERROR($F103*$M103,"")</f>
        <v/>
      </c>
      <c r="O103" s="83" t="n"/>
      <c r="P103" s="77" t="n"/>
      <c r="Q103" s="67" t="n"/>
      <c r="R103" s="67" t="n"/>
      <c r="S103" s="67" t="n"/>
      <c r="T103" s="67" t="n"/>
      <c r="U103" s="67" t="n"/>
      <c r="V103" s="84">
        <f>IFERROR(AVERAGE($Q103,$R103,$S103,$T103,$U103),"")</f>
        <v/>
      </c>
      <c r="W103" s="122" t="n"/>
      <c r="X103" s="83" t="n"/>
      <c r="Y103" s="65" t="n"/>
      <c r="Z103" s="67" t="n"/>
      <c r="AA103" s="67" t="n"/>
      <c r="AB103" s="67" t="n"/>
      <c r="AC103" s="67" t="n"/>
      <c r="AD103" s="67" t="n"/>
      <c r="AE103" s="84">
        <f>IFERROR(AVERAGE($Z103,$AA103,$AB103,$AC103,$AD103),"")</f>
        <v/>
      </c>
      <c r="AF103" s="84">
        <f>IFERROR($F103*$AE103,"")</f>
        <v/>
      </c>
      <c r="AG103" s="83" t="n"/>
      <c r="AH103" s="65" t="n"/>
    </row>
    <row r="104">
      <c r="B104" s="78" t="inlineStr">
        <is>
          <t>T. 101</t>
        </is>
      </c>
      <c r="C104" s="61">
        <f>IFERROR('01_Key Requirements &amp; Use Cases'!$C91,"")</f>
        <v/>
      </c>
      <c r="D104" s="62">
        <f>IFERROR('01_Key Requirements &amp; Use Cases'!$D91,"")</f>
        <v/>
      </c>
      <c r="E104" s="82" t="n"/>
      <c r="F104" s="30" t="n"/>
      <c r="G104" s="78" t="n"/>
      <c r="H104" s="79" t="n"/>
      <c r="I104" s="74" t="n"/>
      <c r="J104" s="74" t="n"/>
      <c r="K104" s="74" t="n"/>
      <c r="L104" s="74" t="n"/>
      <c r="M104" s="76">
        <f>IFERROR(AVERAGE($G104,$I104,$J104,$K104,$L104),"")</f>
        <v/>
      </c>
      <c r="N104" s="76">
        <f>IFERROR($F104*$M104,"")</f>
        <v/>
      </c>
      <c r="O104" s="83" t="n"/>
      <c r="P104" s="77" t="n"/>
      <c r="Q104" s="67" t="n"/>
      <c r="R104" s="67" t="n"/>
      <c r="S104" s="67" t="n"/>
      <c r="T104" s="67" t="n"/>
      <c r="U104" s="67" t="n"/>
      <c r="V104" s="84">
        <f>IFERROR(AVERAGE($Q104,$R104,$S104,$T104,$U104),"")</f>
        <v/>
      </c>
      <c r="W104" s="122" t="n"/>
      <c r="X104" s="83" t="n"/>
      <c r="Y104" s="65" t="n"/>
      <c r="Z104" s="67" t="n"/>
      <c r="AA104" s="67" t="n"/>
      <c r="AB104" s="67" t="n"/>
      <c r="AC104" s="67" t="n"/>
      <c r="AD104" s="67" t="n"/>
      <c r="AE104" s="84">
        <f>IFERROR(AVERAGE($Z104,$AA104,$AB104,$AC104,$AD104),"")</f>
        <v/>
      </c>
      <c r="AF104" s="84">
        <f>IFERROR($F104*$AE104,"")</f>
        <v/>
      </c>
      <c r="AG104" s="83" t="n"/>
      <c r="AH104" s="65" t="n"/>
    </row>
    <row r="105">
      <c r="B105" s="78" t="inlineStr">
        <is>
          <t>T. 102</t>
        </is>
      </c>
      <c r="C105" s="61">
        <f>IFERROR('01_Key Requirements &amp; Use Cases'!$C92,"")</f>
        <v/>
      </c>
      <c r="D105" s="62">
        <f>IFERROR('01_Key Requirements &amp; Use Cases'!$D92,"")</f>
        <v/>
      </c>
      <c r="E105" s="82" t="n"/>
      <c r="F105" s="30" t="n"/>
      <c r="G105" s="78" t="n"/>
      <c r="H105" s="79" t="n"/>
      <c r="I105" s="74" t="n"/>
      <c r="J105" s="74" t="n"/>
      <c r="K105" s="74" t="n"/>
      <c r="L105" s="74" t="n"/>
      <c r="M105" s="76">
        <f>IFERROR(AVERAGE($G105,$I105,$J105,$K105,$L105),"")</f>
        <v/>
      </c>
      <c r="N105" s="76">
        <f>IFERROR($F105*$M105,"")</f>
        <v/>
      </c>
      <c r="O105" s="83" t="n"/>
      <c r="P105" s="77" t="n"/>
      <c r="Q105" s="67" t="n"/>
      <c r="R105" s="67" t="n"/>
      <c r="S105" s="67" t="n"/>
      <c r="T105" s="67" t="n"/>
      <c r="U105" s="67" t="n"/>
      <c r="V105" s="84">
        <f>IFERROR(AVERAGE($Q105,$R105,$S105,$T105,$U105),"")</f>
        <v/>
      </c>
      <c r="W105" s="122" t="n"/>
      <c r="X105" s="83" t="n"/>
      <c r="Y105" s="65" t="n"/>
      <c r="Z105" s="67" t="n"/>
      <c r="AA105" s="67" t="n"/>
      <c r="AB105" s="67" t="n"/>
      <c r="AC105" s="67" t="n"/>
      <c r="AD105" s="67" t="n"/>
      <c r="AE105" s="84">
        <f>IFERROR(AVERAGE($Z105,$AA105,$AB105,$AC105,$AD105),"")</f>
        <v/>
      </c>
      <c r="AF105" s="84">
        <f>IFERROR($F105*$AE105,"")</f>
        <v/>
      </c>
      <c r="AG105" s="83" t="n"/>
      <c r="AH105" s="65" t="n"/>
    </row>
    <row r="106">
      <c r="B106" s="78" t="inlineStr">
        <is>
          <t>T. 103</t>
        </is>
      </c>
      <c r="C106" s="61">
        <f>IFERROR('01_Key Requirements &amp; Use Cases'!$C93,"")</f>
        <v/>
      </c>
      <c r="D106" s="62">
        <f>IFERROR('01_Key Requirements &amp; Use Cases'!$D93,"")</f>
        <v/>
      </c>
      <c r="E106" s="82" t="n"/>
      <c r="F106" s="30" t="n"/>
      <c r="G106" s="78" t="n"/>
      <c r="H106" s="79" t="n"/>
      <c r="I106" s="74" t="n"/>
      <c r="J106" s="74" t="n"/>
      <c r="K106" s="74" t="n"/>
      <c r="L106" s="74" t="n"/>
      <c r="M106" s="76">
        <f>IFERROR(AVERAGE($G106,$I106,$J106,$K106,$L106),"")</f>
        <v/>
      </c>
      <c r="N106" s="76">
        <f>IFERROR($F106*$M106,"")</f>
        <v/>
      </c>
      <c r="O106" s="83" t="n"/>
      <c r="P106" s="77" t="n"/>
      <c r="Q106" s="67" t="n"/>
      <c r="R106" s="67" t="n"/>
      <c r="S106" s="67" t="n"/>
      <c r="T106" s="67" t="n"/>
      <c r="U106" s="67" t="n"/>
      <c r="V106" s="84">
        <f>IFERROR(AVERAGE($Q106,$R106,$S106,$T106,$U106),"")</f>
        <v/>
      </c>
      <c r="W106" s="122" t="n"/>
      <c r="X106" s="83" t="n"/>
      <c r="Y106" s="65" t="n"/>
      <c r="Z106" s="67" t="n"/>
      <c r="AA106" s="67" t="n"/>
      <c r="AB106" s="67" t="n"/>
      <c r="AC106" s="67" t="n"/>
      <c r="AD106" s="67" t="n"/>
      <c r="AE106" s="84">
        <f>IFERROR(AVERAGE($Z106,$AA106,$AB106,$AC106,$AD106),"")</f>
        <v/>
      </c>
      <c r="AF106" s="84">
        <f>IFERROR($F106*$AE106,"")</f>
        <v/>
      </c>
      <c r="AG106" s="83" t="n"/>
      <c r="AH106" s="65" t="n"/>
    </row>
    <row r="107">
      <c r="B107" s="78" t="inlineStr">
        <is>
          <t>T. 104</t>
        </is>
      </c>
      <c r="C107" s="61">
        <f>IFERROR('01_Key Requirements &amp; Use Cases'!$C94,"")</f>
        <v/>
      </c>
      <c r="D107" s="62">
        <f>IFERROR('01_Key Requirements &amp; Use Cases'!$D94,"")</f>
        <v/>
      </c>
      <c r="E107" s="82" t="n"/>
      <c r="F107" s="30" t="n"/>
      <c r="G107" s="78" t="n"/>
      <c r="H107" s="79" t="n"/>
      <c r="I107" s="74" t="n"/>
      <c r="J107" s="74" t="n"/>
      <c r="K107" s="74" t="n"/>
      <c r="L107" s="74" t="n"/>
      <c r="M107" s="76">
        <f>IFERROR(AVERAGE($G107,$I107,$J107,$K107,$L107),"")</f>
        <v/>
      </c>
      <c r="N107" s="76">
        <f>IFERROR($F107*$M107,"")</f>
        <v/>
      </c>
      <c r="O107" s="83" t="n"/>
      <c r="P107" s="77" t="n"/>
      <c r="Q107" s="67" t="n"/>
      <c r="R107" s="67" t="n"/>
      <c r="S107" s="67" t="n"/>
      <c r="T107" s="67" t="n"/>
      <c r="U107" s="67" t="n"/>
      <c r="V107" s="84">
        <f>IFERROR(AVERAGE($Q107,$R107,$S107,$T107,$U107),"")</f>
        <v/>
      </c>
      <c r="W107" s="122" t="n"/>
      <c r="X107" s="83" t="n"/>
      <c r="Y107" s="65" t="n"/>
      <c r="Z107" s="67" t="n"/>
      <c r="AA107" s="67" t="n"/>
      <c r="AB107" s="67" t="n"/>
      <c r="AC107" s="67" t="n"/>
      <c r="AD107" s="67" t="n"/>
      <c r="AE107" s="84">
        <f>IFERROR(AVERAGE($Z107,$AA107,$AB107,$AC107,$AD107),"")</f>
        <v/>
      </c>
      <c r="AF107" s="84">
        <f>IFERROR($F107*$AE107,"")</f>
        <v/>
      </c>
      <c r="AG107" s="83" t="n"/>
      <c r="AH107" s="65" t="n"/>
    </row>
    <row r="108">
      <c r="B108" s="78" t="inlineStr">
        <is>
          <t>T. 105</t>
        </is>
      </c>
      <c r="C108" s="61">
        <f>IFERROR('01_Key Requirements &amp; Use Cases'!$C95,"")</f>
        <v/>
      </c>
      <c r="D108" s="62">
        <f>IFERROR('01_Key Requirements &amp; Use Cases'!$D95,"")</f>
        <v/>
      </c>
      <c r="E108" s="82" t="n"/>
      <c r="F108" s="30" t="n"/>
      <c r="G108" s="78" t="n"/>
      <c r="H108" s="79" t="n"/>
      <c r="I108" s="74" t="n"/>
      <c r="J108" s="74" t="n"/>
      <c r="K108" s="74" t="n"/>
      <c r="L108" s="74" t="n"/>
      <c r="M108" s="76">
        <f>IFERROR(AVERAGE($G108,$I108,$J108,$K108,$L108),"")</f>
        <v/>
      </c>
      <c r="N108" s="76">
        <f>IFERROR($F108*$M108,"")</f>
        <v/>
      </c>
      <c r="O108" s="83" t="n"/>
      <c r="P108" s="77" t="n"/>
      <c r="Q108" s="67" t="n"/>
      <c r="R108" s="67" t="n"/>
      <c r="S108" s="67" t="n"/>
      <c r="T108" s="67" t="n"/>
      <c r="U108" s="67" t="n"/>
      <c r="V108" s="84">
        <f>IFERROR(AVERAGE($Q108,$R108,$S108,$T108,$U108),"")</f>
        <v/>
      </c>
      <c r="W108" s="122" t="n"/>
      <c r="X108" s="83" t="n"/>
      <c r="Y108" s="65" t="n"/>
      <c r="Z108" s="67" t="n"/>
      <c r="AA108" s="67" t="n"/>
      <c r="AB108" s="67" t="n"/>
      <c r="AC108" s="67" t="n"/>
      <c r="AD108" s="67" t="n"/>
      <c r="AE108" s="84">
        <f>IFERROR(AVERAGE($Z108,$AA108,$AB108,$AC108,$AD108),"")</f>
        <v/>
      </c>
      <c r="AF108" s="84">
        <f>IFERROR($F108*$AE108,"")</f>
        <v/>
      </c>
      <c r="AG108" s="83" t="n"/>
      <c r="AH108" s="65" t="n"/>
    </row>
    <row r="109">
      <c r="B109" s="78" t="inlineStr">
        <is>
          <t>T. 106</t>
        </is>
      </c>
      <c r="C109" s="61">
        <f>IFERROR('01_Key Requirements &amp; Use Cases'!$C96,"")</f>
        <v/>
      </c>
      <c r="D109" s="62">
        <f>IFERROR('01_Key Requirements &amp; Use Cases'!$D96,"")</f>
        <v/>
      </c>
      <c r="E109" s="82" t="n"/>
      <c r="F109" s="30" t="n"/>
      <c r="G109" s="78" t="n"/>
      <c r="H109" s="79" t="n"/>
      <c r="I109" s="74" t="n"/>
      <c r="J109" s="74" t="n"/>
      <c r="K109" s="74" t="n"/>
      <c r="L109" s="74" t="n"/>
      <c r="M109" s="76">
        <f>IFERROR(AVERAGE($G109,$I109,$J109,$K109,$L109),"")</f>
        <v/>
      </c>
      <c r="N109" s="76">
        <f>IFERROR($F109*$M109,"")</f>
        <v/>
      </c>
      <c r="O109" s="83" t="n"/>
      <c r="P109" s="77" t="n"/>
      <c r="Q109" s="67" t="n"/>
      <c r="R109" s="67" t="n"/>
      <c r="S109" s="67" t="n"/>
      <c r="T109" s="67" t="n"/>
      <c r="U109" s="67" t="n"/>
      <c r="V109" s="84">
        <f>IFERROR(AVERAGE($Q109,$R109,$S109,$T109,$U109),"")</f>
        <v/>
      </c>
      <c r="W109" s="122" t="n"/>
      <c r="X109" s="83" t="n"/>
      <c r="Y109" s="65" t="n"/>
      <c r="Z109" s="67" t="n"/>
      <c r="AA109" s="67" t="n"/>
      <c r="AB109" s="67" t="n"/>
      <c r="AC109" s="67" t="n"/>
      <c r="AD109" s="67" t="n"/>
      <c r="AE109" s="84">
        <f>IFERROR(AVERAGE($Z109,$AA109,$AB109,$AC109,$AD109),"")</f>
        <v/>
      </c>
      <c r="AF109" s="84">
        <f>IFERROR($F109*$AE109,"")</f>
        <v/>
      </c>
      <c r="AG109" s="83" t="n"/>
      <c r="AH109" s="65" t="n"/>
    </row>
    <row r="110">
      <c r="B110" s="78" t="inlineStr">
        <is>
          <t>T. 107</t>
        </is>
      </c>
      <c r="C110" s="61">
        <f>IFERROR('01_Key Requirements &amp; Use Cases'!$C97,"")</f>
        <v/>
      </c>
      <c r="D110" s="62">
        <f>IFERROR('01_Key Requirements &amp; Use Cases'!$D97,"")</f>
        <v/>
      </c>
      <c r="E110" s="82" t="n"/>
      <c r="F110" s="30" t="n"/>
      <c r="G110" s="78" t="n"/>
      <c r="H110" s="79" t="n"/>
      <c r="I110" s="74" t="n"/>
      <c r="J110" s="74" t="n"/>
      <c r="K110" s="74" t="n"/>
      <c r="L110" s="74" t="n"/>
      <c r="M110" s="76">
        <f>IFERROR(AVERAGE($G110,$I110,$J110,$K110,$L110),"")</f>
        <v/>
      </c>
      <c r="N110" s="76">
        <f>IFERROR($F110*$M110,"")</f>
        <v/>
      </c>
      <c r="O110" s="83" t="n"/>
      <c r="P110" s="77" t="n"/>
      <c r="Q110" s="67" t="n"/>
      <c r="R110" s="67" t="n"/>
      <c r="S110" s="67" t="n"/>
      <c r="T110" s="67" t="n"/>
      <c r="U110" s="67" t="n"/>
      <c r="V110" s="84">
        <f>IFERROR(AVERAGE($Q110,$R110,$S110,$T110,$U110),"")</f>
        <v/>
      </c>
      <c r="W110" s="122" t="n"/>
      <c r="X110" s="83" t="n"/>
      <c r="Y110" s="65" t="n"/>
      <c r="Z110" s="67" t="n"/>
      <c r="AA110" s="67" t="n"/>
      <c r="AB110" s="67" t="n"/>
      <c r="AC110" s="67" t="n"/>
      <c r="AD110" s="67" t="n"/>
      <c r="AE110" s="84">
        <f>IFERROR(AVERAGE($Z110,$AA110,$AB110,$AC110,$AD110),"")</f>
        <v/>
      </c>
      <c r="AF110" s="84">
        <f>IFERROR($F110*$AE110,"")</f>
        <v/>
      </c>
      <c r="AG110" s="83" t="n"/>
      <c r="AH110" s="65" t="n"/>
    </row>
    <row r="111">
      <c r="B111" s="78" t="inlineStr">
        <is>
          <t>T. 108</t>
        </is>
      </c>
      <c r="C111" s="61">
        <f>IFERROR('01_Key Requirements &amp; Use Cases'!$C98,"")</f>
        <v/>
      </c>
      <c r="D111" s="62">
        <f>IFERROR('01_Key Requirements &amp; Use Cases'!$D98,"")</f>
        <v/>
      </c>
      <c r="E111" s="82" t="n"/>
      <c r="F111" s="30" t="n"/>
      <c r="G111" s="78" t="n"/>
      <c r="H111" s="79" t="n"/>
      <c r="I111" s="74" t="n"/>
      <c r="J111" s="74" t="n"/>
      <c r="K111" s="74" t="n"/>
      <c r="L111" s="74" t="n"/>
      <c r="M111" s="76">
        <f>IFERROR(AVERAGE($G111,$I111,$J111,$K111,$L111),"")</f>
        <v/>
      </c>
      <c r="N111" s="76">
        <f>IFERROR($F111*$M111,"")</f>
        <v/>
      </c>
      <c r="O111" s="83" t="n"/>
      <c r="P111" s="77" t="n"/>
      <c r="Q111" s="67" t="n"/>
      <c r="R111" s="67" t="n"/>
      <c r="S111" s="67" t="n"/>
      <c r="T111" s="67" t="n"/>
      <c r="U111" s="67" t="n"/>
      <c r="V111" s="84">
        <f>IFERROR(AVERAGE($Q111,$R111,$S111,$T111,$U111),"")</f>
        <v/>
      </c>
      <c r="W111" s="122" t="n"/>
      <c r="X111" s="83" t="n"/>
      <c r="Y111" s="65" t="n"/>
      <c r="Z111" s="67" t="n"/>
      <c r="AA111" s="67" t="n"/>
      <c r="AB111" s="67" t="n"/>
      <c r="AC111" s="67" t="n"/>
      <c r="AD111" s="67" t="n"/>
      <c r="AE111" s="84">
        <f>IFERROR(AVERAGE($Z111,$AA111,$AB111,$AC111,$AD111),"")</f>
        <v/>
      </c>
      <c r="AF111" s="84">
        <f>IFERROR($F111*$AE111,"")</f>
        <v/>
      </c>
      <c r="AG111" s="83" t="n"/>
      <c r="AH111" s="65" t="n"/>
    </row>
    <row r="112">
      <c r="B112" s="78" t="inlineStr">
        <is>
          <t>T. 109</t>
        </is>
      </c>
      <c r="C112" s="61">
        <f>IFERROR('01_Key Requirements &amp; Use Cases'!$C99,"")</f>
        <v/>
      </c>
      <c r="D112" s="62">
        <f>IFERROR('01_Key Requirements &amp; Use Cases'!$D99,"")</f>
        <v/>
      </c>
      <c r="E112" s="82" t="n"/>
      <c r="F112" s="30" t="n"/>
      <c r="G112" s="78" t="n"/>
      <c r="H112" s="79" t="n"/>
      <c r="I112" s="74" t="n"/>
      <c r="J112" s="74" t="n"/>
      <c r="K112" s="74" t="n"/>
      <c r="L112" s="74" t="n"/>
      <c r="M112" s="76">
        <f>IFERROR(AVERAGE($G112,$I112,$J112,$K112,$L112),"")</f>
        <v/>
      </c>
      <c r="N112" s="76">
        <f>IFERROR($F112*$M112,"")</f>
        <v/>
      </c>
      <c r="O112" s="83" t="n"/>
      <c r="P112" s="77" t="n"/>
      <c r="Q112" s="67" t="n"/>
      <c r="R112" s="67" t="n"/>
      <c r="S112" s="67" t="n"/>
      <c r="T112" s="67" t="n"/>
      <c r="U112" s="67" t="n"/>
      <c r="V112" s="84">
        <f>IFERROR(AVERAGE($Q112,$R112,$S112,$T112,$U112),"")</f>
        <v/>
      </c>
      <c r="W112" s="122" t="n"/>
      <c r="X112" s="83" t="n"/>
      <c r="Y112" s="65" t="n"/>
      <c r="Z112" s="67" t="n"/>
      <c r="AA112" s="67" t="n"/>
      <c r="AB112" s="67" t="n"/>
      <c r="AC112" s="67" t="n"/>
      <c r="AD112" s="67" t="n"/>
      <c r="AE112" s="84">
        <f>IFERROR(AVERAGE($Z112,$AA112,$AB112,$AC112,$AD112),"")</f>
        <v/>
      </c>
      <c r="AF112" s="84">
        <f>IFERROR($F112*$AE112,"")</f>
        <v/>
      </c>
      <c r="AG112" s="83" t="n"/>
      <c r="AH112" s="65" t="n"/>
    </row>
    <row r="113">
      <c r="B113" s="78" t="inlineStr">
        <is>
          <t>T. 110</t>
        </is>
      </c>
      <c r="C113" s="61">
        <f>IFERROR('01_Key Requirements &amp; Use Cases'!$C100,"")</f>
        <v/>
      </c>
      <c r="D113" s="62">
        <f>IFERROR('01_Key Requirements &amp; Use Cases'!$D100,"")</f>
        <v/>
      </c>
      <c r="E113" s="82" t="n"/>
      <c r="F113" s="30" t="n"/>
      <c r="G113" s="78" t="n"/>
      <c r="H113" s="79" t="n"/>
      <c r="I113" s="74" t="n"/>
      <c r="J113" s="74" t="n"/>
      <c r="K113" s="74" t="n"/>
      <c r="L113" s="74" t="n"/>
      <c r="M113" s="76">
        <f>IFERROR(AVERAGE($G113,$I113,$J113,$K113,$L113),"")</f>
        <v/>
      </c>
      <c r="N113" s="76">
        <f>IFERROR($F113*$M113,"")</f>
        <v/>
      </c>
      <c r="O113" s="83" t="n"/>
      <c r="P113" s="77" t="n"/>
      <c r="Q113" s="67" t="n"/>
      <c r="R113" s="67" t="n"/>
      <c r="S113" s="67" t="n"/>
      <c r="T113" s="67" t="n"/>
      <c r="U113" s="67" t="n"/>
      <c r="V113" s="84">
        <f>IFERROR(AVERAGE($Q113,$R113,$S113,$T113,$U113),"")</f>
        <v/>
      </c>
      <c r="W113" s="122" t="n"/>
      <c r="X113" s="83" t="n"/>
      <c r="Y113" s="65" t="n"/>
      <c r="Z113" s="67" t="n"/>
      <c r="AA113" s="67" t="n"/>
      <c r="AB113" s="67" t="n"/>
      <c r="AC113" s="67" t="n"/>
      <c r="AD113" s="67" t="n"/>
      <c r="AE113" s="84">
        <f>IFERROR(AVERAGE($Z113,$AA113,$AB113,$AC113,$AD113),"")</f>
        <v/>
      </c>
      <c r="AF113" s="84">
        <f>IFERROR($F113*$AE113,"")</f>
        <v/>
      </c>
      <c r="AG113" s="83" t="n"/>
      <c r="AH113" s="65" t="n"/>
    </row>
    <row r="114">
      <c r="B114" s="78" t="inlineStr">
        <is>
          <t>T. 111</t>
        </is>
      </c>
      <c r="C114" s="61">
        <f>IFERROR('01_Key Requirements &amp; Use Cases'!$C101,"")</f>
        <v/>
      </c>
      <c r="D114" s="62">
        <f>IFERROR('01_Key Requirements &amp; Use Cases'!$D101,"")</f>
        <v/>
      </c>
      <c r="E114" s="82" t="n"/>
      <c r="F114" s="30" t="n"/>
      <c r="G114" s="78" t="n"/>
      <c r="H114" s="79" t="n"/>
      <c r="I114" s="74" t="n"/>
      <c r="J114" s="74" t="n"/>
      <c r="K114" s="74" t="n"/>
      <c r="L114" s="74" t="n"/>
      <c r="M114" s="76">
        <f>IFERROR(AVERAGE($G114,$I114,$J114,$K114,$L114),"")</f>
        <v/>
      </c>
      <c r="N114" s="76">
        <f>IFERROR($F114*$M114,"")</f>
        <v/>
      </c>
      <c r="O114" s="83" t="n"/>
      <c r="P114" s="77" t="n"/>
      <c r="Q114" s="67" t="n"/>
      <c r="R114" s="67" t="n"/>
      <c r="S114" s="67" t="n"/>
      <c r="T114" s="67" t="n"/>
      <c r="U114" s="67" t="n"/>
      <c r="V114" s="84">
        <f>IFERROR(AVERAGE($Q114,$R114,$S114,$T114,$U114),"")</f>
        <v/>
      </c>
      <c r="W114" s="122" t="n"/>
      <c r="X114" s="83" t="n"/>
      <c r="Y114" s="65" t="n"/>
      <c r="Z114" s="67" t="n"/>
      <c r="AA114" s="67" t="n"/>
      <c r="AB114" s="67" t="n"/>
      <c r="AC114" s="67" t="n"/>
      <c r="AD114" s="67" t="n"/>
      <c r="AE114" s="84">
        <f>IFERROR(AVERAGE($Z114,$AA114,$AB114,$AC114,$AD114),"")</f>
        <v/>
      </c>
      <c r="AF114" s="84">
        <f>IFERROR($F114*$AE114,"")</f>
        <v/>
      </c>
      <c r="AG114" s="83" t="n"/>
      <c r="AH114" s="65" t="n"/>
    </row>
    <row r="115">
      <c r="B115" s="78" t="inlineStr">
        <is>
          <t>T. 112</t>
        </is>
      </c>
      <c r="C115" s="61">
        <f>IFERROR('01_Key Requirements &amp; Use Cases'!$C102,"")</f>
        <v/>
      </c>
      <c r="D115" s="62">
        <f>IFERROR('01_Key Requirements &amp; Use Cases'!$D102,"")</f>
        <v/>
      </c>
      <c r="E115" s="82" t="n"/>
      <c r="F115" s="30" t="n"/>
      <c r="G115" s="78" t="n"/>
      <c r="H115" s="79" t="n"/>
      <c r="I115" s="74" t="n"/>
      <c r="J115" s="74" t="n"/>
      <c r="K115" s="74" t="n"/>
      <c r="L115" s="74" t="n"/>
      <c r="M115" s="76">
        <f>IFERROR(AVERAGE($G115,$I115,$J115,$K115,$L115),"")</f>
        <v/>
      </c>
      <c r="N115" s="76">
        <f>IFERROR($F115*$M115,"")</f>
        <v/>
      </c>
      <c r="O115" s="83" t="n"/>
      <c r="P115" s="77" t="n"/>
      <c r="Q115" s="67" t="n"/>
      <c r="R115" s="67" t="n"/>
      <c r="S115" s="67" t="n"/>
      <c r="T115" s="67" t="n"/>
      <c r="U115" s="67" t="n"/>
      <c r="V115" s="84">
        <f>IFERROR(AVERAGE($Q115,$R115,$S115,$T115,$U115),"")</f>
        <v/>
      </c>
      <c r="W115" s="122" t="n"/>
      <c r="X115" s="83" t="n"/>
      <c r="Y115" s="65" t="n"/>
      <c r="Z115" s="67" t="n"/>
      <c r="AA115" s="67" t="n"/>
      <c r="AB115" s="67" t="n"/>
      <c r="AC115" s="67" t="n"/>
      <c r="AD115" s="67" t="n"/>
      <c r="AE115" s="84">
        <f>IFERROR(AVERAGE($Z115,$AA115,$AB115,$AC115,$AD115),"")</f>
        <v/>
      </c>
      <c r="AF115" s="84">
        <f>IFERROR($F115*$AE115,"")</f>
        <v/>
      </c>
      <c r="AG115" s="83" t="n"/>
      <c r="AH115" s="65" t="n"/>
    </row>
    <row r="116">
      <c r="B116" s="78" t="inlineStr">
        <is>
          <t>T. 113</t>
        </is>
      </c>
      <c r="C116" s="61">
        <f>IFERROR('01_Key Requirements &amp; Use Cases'!$C103,"")</f>
        <v/>
      </c>
      <c r="D116" s="62">
        <f>IFERROR('01_Key Requirements &amp; Use Cases'!$D103,"")</f>
        <v/>
      </c>
      <c r="E116" s="82" t="n"/>
      <c r="F116" s="30" t="n"/>
      <c r="G116" s="78" t="n"/>
      <c r="H116" s="79" t="n"/>
      <c r="I116" s="74" t="n"/>
      <c r="J116" s="74" t="n"/>
      <c r="K116" s="74" t="n"/>
      <c r="L116" s="74" t="n"/>
      <c r="M116" s="76">
        <f>IFERROR(AVERAGE($G116,$I116,$J116,$K116,$L116),"")</f>
        <v/>
      </c>
      <c r="N116" s="76">
        <f>IFERROR($F116*$M116,"")</f>
        <v/>
      </c>
      <c r="O116" s="83" t="n"/>
      <c r="P116" s="77" t="n"/>
      <c r="Q116" s="67" t="n"/>
      <c r="R116" s="67" t="n"/>
      <c r="S116" s="67" t="n"/>
      <c r="T116" s="67" t="n"/>
      <c r="U116" s="67" t="n"/>
      <c r="V116" s="84">
        <f>IFERROR(AVERAGE($Q116,$R116,$S116,$T116,$U116),"")</f>
        <v/>
      </c>
      <c r="W116" s="122" t="n"/>
      <c r="X116" s="83" t="n"/>
      <c r="Y116" s="65" t="n"/>
      <c r="Z116" s="67" t="n"/>
      <c r="AA116" s="67" t="n"/>
      <c r="AB116" s="67" t="n"/>
      <c r="AC116" s="67" t="n"/>
      <c r="AD116" s="67" t="n"/>
      <c r="AE116" s="84">
        <f>IFERROR(AVERAGE($Z116,$AA116,$AB116,$AC116,$AD116),"")</f>
        <v/>
      </c>
      <c r="AF116" s="84">
        <f>IFERROR($F116*$AE116,"")</f>
        <v/>
      </c>
      <c r="AG116" s="83" t="n"/>
      <c r="AH116" s="65" t="n"/>
    </row>
    <row r="117">
      <c r="B117" s="78" t="inlineStr">
        <is>
          <t>T. 114</t>
        </is>
      </c>
      <c r="C117" s="61">
        <f>IFERROR('01_Key Requirements &amp; Use Cases'!$C104,"")</f>
        <v/>
      </c>
      <c r="D117" s="62">
        <f>IFERROR('01_Key Requirements &amp; Use Cases'!$D104,"")</f>
        <v/>
      </c>
      <c r="E117" s="82" t="n"/>
      <c r="F117" s="30" t="n"/>
      <c r="G117" s="78" t="n"/>
      <c r="H117" s="79" t="n"/>
      <c r="I117" s="74" t="n"/>
      <c r="J117" s="74" t="n"/>
      <c r="K117" s="74" t="n"/>
      <c r="L117" s="74" t="n"/>
      <c r="M117" s="76">
        <f>IFERROR(AVERAGE($G117,$I117,$J117,$K117,$L117),"")</f>
        <v/>
      </c>
      <c r="N117" s="76">
        <f>IFERROR($F117*$M117,"")</f>
        <v/>
      </c>
      <c r="O117" s="83" t="n"/>
      <c r="P117" s="77" t="n"/>
      <c r="Q117" s="67" t="n"/>
      <c r="R117" s="67" t="n"/>
      <c r="S117" s="67" t="n"/>
      <c r="T117" s="67" t="n"/>
      <c r="U117" s="67" t="n"/>
      <c r="V117" s="84">
        <f>IFERROR(AVERAGE($Q117,$R117,$S117,$T117,$U117),"")</f>
        <v/>
      </c>
      <c r="W117" s="122" t="n"/>
      <c r="X117" s="83" t="n"/>
      <c r="Y117" s="65" t="n"/>
      <c r="Z117" s="67" t="n"/>
      <c r="AA117" s="67" t="n"/>
      <c r="AB117" s="67" t="n"/>
      <c r="AC117" s="67" t="n"/>
      <c r="AD117" s="67" t="n"/>
      <c r="AE117" s="84">
        <f>IFERROR(AVERAGE($Z117,$AA117,$AB117,$AC117,$AD117),"")</f>
        <v/>
      </c>
      <c r="AF117" s="84">
        <f>IFERROR($F117*$AE117,"")</f>
        <v/>
      </c>
      <c r="AG117" s="83" t="n"/>
      <c r="AH117" s="65" t="n"/>
    </row>
    <row r="118">
      <c r="B118" s="78" t="inlineStr">
        <is>
          <t>T. 115</t>
        </is>
      </c>
      <c r="C118" s="61">
        <f>IFERROR('01_Key Requirements &amp; Use Cases'!$C105,"")</f>
        <v/>
      </c>
      <c r="D118" s="62">
        <f>IFERROR('01_Key Requirements &amp; Use Cases'!$D105,"")</f>
        <v/>
      </c>
      <c r="E118" s="82" t="n"/>
      <c r="F118" s="30" t="n"/>
      <c r="G118" s="78" t="n"/>
      <c r="H118" s="79" t="n"/>
      <c r="I118" s="74" t="n"/>
      <c r="J118" s="74" t="n"/>
      <c r="K118" s="74" t="n"/>
      <c r="L118" s="74" t="n"/>
      <c r="M118" s="76">
        <f>IFERROR(AVERAGE($G118,$I118,$J118,$K118,$L118),"")</f>
        <v/>
      </c>
      <c r="N118" s="76">
        <f>IFERROR($F118*$M118,"")</f>
        <v/>
      </c>
      <c r="O118" s="83" t="n"/>
      <c r="P118" s="77" t="n"/>
      <c r="Q118" s="67" t="n"/>
      <c r="R118" s="67" t="n"/>
      <c r="S118" s="67" t="n"/>
      <c r="T118" s="67" t="n"/>
      <c r="U118" s="67" t="n"/>
      <c r="V118" s="84">
        <f>IFERROR(AVERAGE($Q118,$R118,$S118,$T118,$U118),"")</f>
        <v/>
      </c>
      <c r="W118" s="122" t="n"/>
      <c r="X118" s="83" t="n"/>
      <c r="Y118" s="65" t="n"/>
      <c r="Z118" s="67" t="n"/>
      <c r="AA118" s="67" t="n"/>
      <c r="AB118" s="67" t="n"/>
      <c r="AC118" s="67" t="n"/>
      <c r="AD118" s="67" t="n"/>
      <c r="AE118" s="84">
        <f>IFERROR(AVERAGE($Z118,$AA118,$AB118,$AC118,$AD118),"")</f>
        <v/>
      </c>
      <c r="AF118" s="84">
        <f>IFERROR($F118*$AE118,"")</f>
        <v/>
      </c>
      <c r="AG118" s="83" t="n"/>
      <c r="AH118" s="65" t="n"/>
    </row>
    <row r="119">
      <c r="B119" s="78" t="inlineStr">
        <is>
          <t>T. 116</t>
        </is>
      </c>
      <c r="C119" s="61">
        <f>IFERROR('01_Key Requirements &amp; Use Cases'!$C106,"")</f>
        <v/>
      </c>
      <c r="D119" s="62">
        <f>IFERROR('01_Key Requirements &amp; Use Cases'!$D106,"")</f>
        <v/>
      </c>
      <c r="E119" s="82" t="n"/>
      <c r="F119" s="30" t="n"/>
      <c r="G119" s="78" t="n"/>
      <c r="H119" s="79" t="n"/>
      <c r="I119" s="74" t="n"/>
      <c r="J119" s="74" t="n"/>
      <c r="K119" s="74" t="n"/>
      <c r="L119" s="74" t="n"/>
      <c r="M119" s="76">
        <f>IFERROR(AVERAGE($G119,$I119,$J119,$K119,$L119),"")</f>
        <v/>
      </c>
      <c r="N119" s="76">
        <f>IFERROR($F119*$M119,"")</f>
        <v/>
      </c>
      <c r="O119" s="83" t="n"/>
      <c r="P119" s="77" t="n"/>
      <c r="Q119" s="67" t="n"/>
      <c r="R119" s="67" t="n"/>
      <c r="S119" s="67" t="n"/>
      <c r="T119" s="67" t="n"/>
      <c r="U119" s="67" t="n"/>
      <c r="V119" s="84">
        <f>IFERROR(AVERAGE($Q119,$R119,$S119,$T119,$U119),"")</f>
        <v/>
      </c>
      <c r="W119" s="122" t="n"/>
      <c r="X119" s="83" t="n"/>
      <c r="Y119" s="65" t="n"/>
      <c r="Z119" s="67" t="n"/>
      <c r="AA119" s="67" t="n"/>
      <c r="AB119" s="67" t="n"/>
      <c r="AC119" s="67" t="n"/>
      <c r="AD119" s="67" t="n"/>
      <c r="AE119" s="84">
        <f>IFERROR(AVERAGE($Z119,$AA119,$AB119,$AC119,$AD119),"")</f>
        <v/>
      </c>
      <c r="AF119" s="84">
        <f>IFERROR($F119*$AE119,"")</f>
        <v/>
      </c>
      <c r="AG119" s="83" t="n"/>
      <c r="AH119" s="65" t="n"/>
    </row>
    <row r="120">
      <c r="B120" s="78" t="inlineStr">
        <is>
          <t>T. 117</t>
        </is>
      </c>
      <c r="C120" s="61">
        <f>IFERROR('01_Key Requirements &amp; Use Cases'!$C107,"")</f>
        <v/>
      </c>
      <c r="D120" s="62">
        <f>IFERROR('01_Key Requirements &amp; Use Cases'!$D107,"")</f>
        <v/>
      </c>
      <c r="E120" s="82" t="n"/>
      <c r="F120" s="30" t="n"/>
      <c r="G120" s="78" t="n"/>
      <c r="H120" s="79" t="n"/>
      <c r="I120" s="74" t="n"/>
      <c r="J120" s="74" t="n"/>
      <c r="K120" s="74" t="n"/>
      <c r="L120" s="74" t="n"/>
      <c r="M120" s="76">
        <f>IFERROR(AVERAGE($G120,$I120,$J120,$K120,$L120),"")</f>
        <v/>
      </c>
      <c r="N120" s="76">
        <f>IFERROR($F120*$M120,"")</f>
        <v/>
      </c>
      <c r="O120" s="83" t="n"/>
      <c r="P120" s="77" t="n"/>
      <c r="Q120" s="67" t="n"/>
      <c r="R120" s="67" t="n"/>
      <c r="S120" s="67" t="n"/>
      <c r="T120" s="67" t="n"/>
      <c r="U120" s="67" t="n"/>
      <c r="V120" s="84">
        <f>IFERROR(AVERAGE($Q120,$R120,$S120,$T120,$U120),"")</f>
        <v/>
      </c>
      <c r="W120" s="122" t="n"/>
      <c r="X120" s="83" t="n"/>
      <c r="Y120" s="65" t="n"/>
      <c r="Z120" s="67" t="n"/>
      <c r="AA120" s="67" t="n"/>
      <c r="AB120" s="67" t="n"/>
      <c r="AC120" s="67" t="n"/>
      <c r="AD120" s="67" t="n"/>
      <c r="AE120" s="84">
        <f>IFERROR(AVERAGE($Z120,$AA120,$AB120,$AC120,$AD120),"")</f>
        <v/>
      </c>
      <c r="AF120" s="84">
        <f>IFERROR($F120*$AE120,"")</f>
        <v/>
      </c>
      <c r="AG120" s="83" t="n"/>
      <c r="AH120" s="65" t="n"/>
    </row>
    <row r="121">
      <c r="B121" s="78" t="inlineStr">
        <is>
          <t>T. 118</t>
        </is>
      </c>
      <c r="C121" s="61">
        <f>IFERROR('01_Key Requirements &amp; Use Cases'!$C108,"")</f>
        <v/>
      </c>
      <c r="D121" s="62">
        <f>IFERROR('01_Key Requirements &amp; Use Cases'!$D108,"")</f>
        <v/>
      </c>
      <c r="E121" s="82" t="n"/>
      <c r="F121" s="30" t="n"/>
      <c r="G121" s="78" t="n"/>
      <c r="H121" s="79" t="n"/>
      <c r="I121" s="74" t="n"/>
      <c r="J121" s="74" t="n"/>
      <c r="K121" s="74" t="n"/>
      <c r="L121" s="74" t="n"/>
      <c r="M121" s="76">
        <f>IFERROR(AVERAGE($G121,$I121,$J121,$K121,$L121),"")</f>
        <v/>
      </c>
      <c r="N121" s="76">
        <f>IFERROR($F121*$M121,"")</f>
        <v/>
      </c>
      <c r="O121" s="83" t="n"/>
      <c r="P121" s="77" t="n"/>
      <c r="Q121" s="67" t="n"/>
      <c r="R121" s="67" t="n"/>
      <c r="S121" s="67" t="n"/>
      <c r="T121" s="67" t="n"/>
      <c r="U121" s="67" t="n"/>
      <c r="V121" s="84">
        <f>IFERROR(AVERAGE($Q121,$R121,$S121,$T121,$U121),"")</f>
        <v/>
      </c>
      <c r="W121" s="122" t="n"/>
      <c r="X121" s="83" t="n"/>
      <c r="Y121" s="65" t="n"/>
      <c r="Z121" s="67" t="n"/>
      <c r="AA121" s="67" t="n"/>
      <c r="AB121" s="67" t="n"/>
      <c r="AC121" s="67" t="n"/>
      <c r="AD121" s="67" t="n"/>
      <c r="AE121" s="84">
        <f>IFERROR(AVERAGE($Z121,$AA121,$AB121,$AC121,$AD121),"")</f>
        <v/>
      </c>
      <c r="AF121" s="84">
        <f>IFERROR($F121*$AE121,"")</f>
        <v/>
      </c>
      <c r="AG121" s="83" t="n"/>
      <c r="AH121" s="65" t="n"/>
    </row>
    <row r="122">
      <c r="B122" s="78" t="inlineStr">
        <is>
          <t>T. 119</t>
        </is>
      </c>
      <c r="C122" s="61">
        <f>IFERROR('01_Key Requirements &amp; Use Cases'!$C109,"")</f>
        <v/>
      </c>
      <c r="D122" s="62">
        <f>IFERROR('01_Key Requirements &amp; Use Cases'!$D109,"")</f>
        <v/>
      </c>
      <c r="E122" s="82" t="n"/>
      <c r="F122" s="30" t="n"/>
      <c r="G122" s="78" t="n"/>
      <c r="H122" s="79" t="n"/>
      <c r="I122" s="74" t="n"/>
      <c r="J122" s="74" t="n"/>
      <c r="K122" s="74" t="n"/>
      <c r="L122" s="74" t="n"/>
      <c r="M122" s="76">
        <f>IFERROR(AVERAGE($G122,$I122,$J122,$K122,$L122),"")</f>
        <v/>
      </c>
      <c r="N122" s="76">
        <f>IFERROR($F122*$M122,"")</f>
        <v/>
      </c>
      <c r="O122" s="83" t="n"/>
      <c r="P122" s="77" t="n"/>
      <c r="Q122" s="67" t="n"/>
      <c r="R122" s="67" t="n"/>
      <c r="S122" s="67" t="n"/>
      <c r="T122" s="67" t="n"/>
      <c r="U122" s="67" t="n"/>
      <c r="V122" s="84">
        <f>IFERROR(AVERAGE($Q122,$R122,$S122,$T122,$U122),"")</f>
        <v/>
      </c>
      <c r="W122" s="122" t="n"/>
      <c r="X122" s="83" t="n"/>
      <c r="Y122" s="65" t="n"/>
      <c r="Z122" s="67" t="n"/>
      <c r="AA122" s="67" t="n"/>
      <c r="AB122" s="67" t="n"/>
      <c r="AC122" s="67" t="n"/>
      <c r="AD122" s="67" t="n"/>
      <c r="AE122" s="84">
        <f>IFERROR(AVERAGE($Z122,$AA122,$AB122,$AC122,$AD122),"")</f>
        <v/>
      </c>
      <c r="AF122" s="84">
        <f>IFERROR($F122*$AE122,"")</f>
        <v/>
      </c>
      <c r="AG122" s="83" t="n"/>
      <c r="AH122" s="65" t="n"/>
    </row>
    <row r="123">
      <c r="B123" s="78" t="inlineStr">
        <is>
          <t>T. 120</t>
        </is>
      </c>
      <c r="C123" s="61">
        <f>IFERROR('01_Key Requirements &amp; Use Cases'!$C110,"")</f>
        <v/>
      </c>
      <c r="D123" s="62">
        <f>IFERROR('01_Key Requirements &amp; Use Cases'!$D110,"")</f>
        <v/>
      </c>
      <c r="E123" s="82" t="n"/>
      <c r="F123" s="30" t="n"/>
      <c r="G123" s="78" t="n"/>
      <c r="H123" s="79" t="n"/>
      <c r="I123" s="74" t="n"/>
      <c r="J123" s="74" t="n"/>
      <c r="K123" s="74" t="n"/>
      <c r="L123" s="74" t="n"/>
      <c r="M123" s="76">
        <f>IFERROR(AVERAGE($G123,$I123,$J123,$K123,$L123),"")</f>
        <v/>
      </c>
      <c r="N123" s="76">
        <f>IFERROR($F123*$M123,"")</f>
        <v/>
      </c>
      <c r="O123" s="83" t="n"/>
      <c r="P123" s="77" t="n"/>
      <c r="Q123" s="67" t="n"/>
      <c r="R123" s="67" t="n"/>
      <c r="S123" s="67" t="n"/>
      <c r="T123" s="67" t="n"/>
      <c r="U123" s="67" t="n"/>
      <c r="V123" s="84">
        <f>IFERROR(AVERAGE($Q123,$R123,$S123,$T123,$U123),"")</f>
        <v/>
      </c>
      <c r="W123" s="122" t="n"/>
      <c r="X123" s="83" t="n"/>
      <c r="Y123" s="65" t="n"/>
      <c r="Z123" s="67" t="n"/>
      <c r="AA123" s="67" t="n"/>
      <c r="AB123" s="67" t="n"/>
      <c r="AC123" s="67" t="n"/>
      <c r="AD123" s="67" t="n"/>
      <c r="AE123" s="84">
        <f>IFERROR(AVERAGE($Z123,$AA123,$AB123,$AC123,$AD123),"")</f>
        <v/>
      </c>
      <c r="AF123" s="84">
        <f>IFERROR($F123*$AE123,"")</f>
        <v/>
      </c>
      <c r="AG123" s="83" t="n"/>
      <c r="AH123" s="65" t="n"/>
    </row>
    <row r="124">
      <c r="B124" s="78" t="inlineStr">
        <is>
          <t>T. 121</t>
        </is>
      </c>
      <c r="C124" s="61">
        <f>IFERROR('01_Key Requirements &amp; Use Cases'!$C111,"")</f>
        <v/>
      </c>
      <c r="D124" s="62">
        <f>IFERROR('01_Key Requirements &amp; Use Cases'!$D111,"")</f>
        <v/>
      </c>
      <c r="E124" s="82" t="n"/>
      <c r="F124" s="30" t="n"/>
      <c r="G124" s="78" t="n"/>
      <c r="H124" s="79" t="n"/>
      <c r="I124" s="74" t="n"/>
      <c r="J124" s="74" t="n"/>
      <c r="K124" s="74" t="n"/>
      <c r="L124" s="74" t="n"/>
      <c r="M124" s="76">
        <f>IFERROR(AVERAGE($G124,$I124,$J124,$K124,$L124),"")</f>
        <v/>
      </c>
      <c r="N124" s="76">
        <f>IFERROR($F124*$M124,"")</f>
        <v/>
      </c>
      <c r="O124" s="83" t="n"/>
      <c r="P124" s="77" t="n"/>
      <c r="Q124" s="67" t="n"/>
      <c r="R124" s="67" t="n"/>
      <c r="S124" s="67" t="n"/>
      <c r="T124" s="67" t="n"/>
      <c r="U124" s="67" t="n"/>
      <c r="V124" s="84">
        <f>IFERROR(AVERAGE($Q124,$R124,$S124,$T124,$U124),"")</f>
        <v/>
      </c>
      <c r="W124" s="122" t="n"/>
      <c r="X124" s="83" t="n"/>
      <c r="Y124" s="65" t="n"/>
      <c r="Z124" s="67" t="n"/>
      <c r="AA124" s="67" t="n"/>
      <c r="AB124" s="67" t="n"/>
      <c r="AC124" s="67" t="n"/>
      <c r="AD124" s="67" t="n"/>
      <c r="AE124" s="84">
        <f>IFERROR(AVERAGE($Z124,$AA124,$AB124,$AC124,$AD124),"")</f>
        <v/>
      </c>
      <c r="AF124" s="84">
        <f>IFERROR($F124*$AE124,"")</f>
        <v/>
      </c>
      <c r="AG124" s="83" t="n"/>
      <c r="AH124" s="65" t="n"/>
    </row>
    <row r="125">
      <c r="B125" s="78" t="inlineStr">
        <is>
          <t>T. 122</t>
        </is>
      </c>
      <c r="C125" s="61">
        <f>IFERROR('01_Key Requirements &amp; Use Cases'!$C112,"")</f>
        <v/>
      </c>
      <c r="D125" s="62">
        <f>IFERROR('01_Key Requirements &amp; Use Cases'!$D112,"")</f>
        <v/>
      </c>
      <c r="E125" s="82" t="n"/>
      <c r="F125" s="30" t="n"/>
      <c r="G125" s="78" t="n"/>
      <c r="H125" s="79" t="n"/>
      <c r="I125" s="74" t="n"/>
      <c r="J125" s="74" t="n"/>
      <c r="K125" s="74" t="n"/>
      <c r="L125" s="74" t="n"/>
      <c r="M125" s="76">
        <f>IFERROR(AVERAGE($G125,$I125,$J125,$K125,$L125),"")</f>
        <v/>
      </c>
      <c r="N125" s="76">
        <f>IFERROR($F125*$M125,"")</f>
        <v/>
      </c>
      <c r="O125" s="83" t="n"/>
      <c r="P125" s="77" t="n"/>
      <c r="Q125" s="67" t="n"/>
      <c r="R125" s="67" t="n"/>
      <c r="S125" s="67" t="n"/>
      <c r="T125" s="67" t="n"/>
      <c r="U125" s="67" t="n"/>
      <c r="V125" s="84">
        <f>IFERROR(AVERAGE($Q125,$R125,$S125,$T125,$U125),"")</f>
        <v/>
      </c>
      <c r="W125" s="122" t="n"/>
      <c r="X125" s="83" t="n"/>
      <c r="Y125" s="65" t="n"/>
      <c r="Z125" s="67" t="n"/>
      <c r="AA125" s="67" t="n"/>
      <c r="AB125" s="67" t="n"/>
      <c r="AC125" s="67" t="n"/>
      <c r="AD125" s="67" t="n"/>
      <c r="AE125" s="84">
        <f>IFERROR(AVERAGE($Z125,$AA125,$AB125,$AC125,$AD125),"")</f>
        <v/>
      </c>
      <c r="AF125" s="84">
        <f>IFERROR($F125*$AE125,"")</f>
        <v/>
      </c>
      <c r="AG125" s="83" t="n"/>
      <c r="AH125" s="65" t="n"/>
    </row>
    <row r="126">
      <c r="B126" s="78" t="inlineStr">
        <is>
          <t>T. 123</t>
        </is>
      </c>
      <c r="C126" s="61">
        <f>IFERROR('01_Key Requirements &amp; Use Cases'!$C113,"")</f>
        <v/>
      </c>
      <c r="D126" s="62">
        <f>IFERROR('01_Key Requirements &amp; Use Cases'!$D113,"")</f>
        <v/>
      </c>
      <c r="E126" s="82" t="n"/>
      <c r="F126" s="30" t="n"/>
      <c r="G126" s="78" t="n"/>
      <c r="H126" s="79" t="n"/>
      <c r="I126" s="74" t="n"/>
      <c r="J126" s="74" t="n"/>
      <c r="K126" s="74" t="n"/>
      <c r="L126" s="74" t="n"/>
      <c r="M126" s="76">
        <f>IFERROR(AVERAGE($G126,$I126,$J126,$K126,$L126),"")</f>
        <v/>
      </c>
      <c r="N126" s="76">
        <f>IFERROR($F126*$M126,"")</f>
        <v/>
      </c>
      <c r="O126" s="83" t="n"/>
      <c r="P126" s="77" t="n"/>
      <c r="Q126" s="67" t="n"/>
      <c r="R126" s="67" t="n"/>
      <c r="S126" s="67" t="n"/>
      <c r="T126" s="67" t="n"/>
      <c r="U126" s="67" t="n"/>
      <c r="V126" s="84">
        <f>IFERROR(AVERAGE($Q126,$R126,$S126,$T126,$U126),"")</f>
        <v/>
      </c>
      <c r="W126" s="122" t="n"/>
      <c r="X126" s="83" t="n"/>
      <c r="Y126" s="65" t="n"/>
      <c r="Z126" s="67" t="n"/>
      <c r="AA126" s="67" t="n"/>
      <c r="AB126" s="67" t="n"/>
      <c r="AC126" s="67" t="n"/>
      <c r="AD126" s="67" t="n"/>
      <c r="AE126" s="84">
        <f>IFERROR(AVERAGE($Z126,$AA126,$AB126,$AC126,$AD126),"")</f>
        <v/>
      </c>
      <c r="AF126" s="84">
        <f>IFERROR($F126*$AE126,"")</f>
        <v/>
      </c>
      <c r="AG126" s="83" t="n"/>
      <c r="AH126" s="65" t="n"/>
    </row>
    <row r="127">
      <c r="B127" s="78" t="inlineStr">
        <is>
          <t>T. 124</t>
        </is>
      </c>
      <c r="C127" s="61">
        <f>IFERROR('01_Key Requirements &amp; Use Cases'!$C114,"")</f>
        <v/>
      </c>
      <c r="D127" s="62">
        <f>IFERROR('01_Key Requirements &amp; Use Cases'!$D114,"")</f>
        <v/>
      </c>
      <c r="E127" s="82" t="n"/>
      <c r="F127" s="30" t="n"/>
      <c r="G127" s="78" t="n"/>
      <c r="H127" s="79" t="n"/>
      <c r="I127" s="74" t="n"/>
      <c r="J127" s="74" t="n"/>
      <c r="K127" s="74" t="n"/>
      <c r="L127" s="74" t="n"/>
      <c r="M127" s="76">
        <f>IFERROR(AVERAGE($G127,$I127,$J127,$K127,$L127),"")</f>
        <v/>
      </c>
      <c r="N127" s="76">
        <f>IFERROR($F127*$M127,"")</f>
        <v/>
      </c>
      <c r="O127" s="83" t="n"/>
      <c r="P127" s="77" t="n"/>
      <c r="Q127" s="67" t="n"/>
      <c r="R127" s="67" t="n"/>
      <c r="S127" s="67" t="n"/>
      <c r="T127" s="67" t="n"/>
      <c r="U127" s="67" t="n"/>
      <c r="V127" s="84">
        <f>IFERROR(AVERAGE($Q127,$R127,$S127,$T127,$U127),"")</f>
        <v/>
      </c>
      <c r="W127" s="122" t="n"/>
      <c r="X127" s="83" t="n"/>
      <c r="Y127" s="65" t="n"/>
      <c r="Z127" s="67" t="n"/>
      <c r="AA127" s="67" t="n"/>
      <c r="AB127" s="67" t="n"/>
      <c r="AC127" s="67" t="n"/>
      <c r="AD127" s="67" t="n"/>
      <c r="AE127" s="84">
        <f>IFERROR(AVERAGE($Z127,$AA127,$AB127,$AC127,$AD127),"")</f>
        <v/>
      </c>
      <c r="AF127" s="84">
        <f>IFERROR($F127*$AE127,"")</f>
        <v/>
      </c>
      <c r="AG127" s="83" t="n"/>
      <c r="AH127" s="65" t="n"/>
    </row>
    <row r="128">
      <c r="B128" s="78" t="inlineStr">
        <is>
          <t>T. 125</t>
        </is>
      </c>
      <c r="C128" s="61">
        <f>IFERROR('01_Key Requirements &amp; Use Cases'!$C115,"")</f>
        <v/>
      </c>
      <c r="D128" s="62">
        <f>IFERROR('01_Key Requirements &amp; Use Cases'!$D115,"")</f>
        <v/>
      </c>
      <c r="E128" s="82" t="n"/>
      <c r="F128" s="30" t="n"/>
      <c r="G128" s="78" t="n"/>
      <c r="H128" s="79" t="n"/>
      <c r="I128" s="74" t="n"/>
      <c r="J128" s="74" t="n"/>
      <c r="K128" s="74" t="n"/>
      <c r="L128" s="74" t="n"/>
      <c r="M128" s="76">
        <f>IFERROR(AVERAGE($G128,$I128,$J128,$K128,$L128),"")</f>
        <v/>
      </c>
      <c r="N128" s="76">
        <f>IFERROR($F128*$M128,"")</f>
        <v/>
      </c>
      <c r="O128" s="83" t="n"/>
      <c r="P128" s="77" t="n"/>
      <c r="Q128" s="67" t="n"/>
      <c r="R128" s="67" t="n"/>
      <c r="S128" s="67" t="n"/>
      <c r="T128" s="67" t="n"/>
      <c r="U128" s="67" t="n"/>
      <c r="V128" s="84">
        <f>IFERROR(AVERAGE($Q128,$R128,$S128,$T128,$U128),"")</f>
        <v/>
      </c>
      <c r="W128" s="122" t="n"/>
      <c r="X128" s="83" t="n"/>
      <c r="Y128" s="65" t="n"/>
      <c r="Z128" s="67" t="n"/>
      <c r="AA128" s="67" t="n"/>
      <c r="AB128" s="67" t="n"/>
      <c r="AC128" s="67" t="n"/>
      <c r="AD128" s="67" t="n"/>
      <c r="AE128" s="84">
        <f>IFERROR(AVERAGE($Z128,$AA128,$AB128,$AC128,$AD128),"")</f>
        <v/>
      </c>
      <c r="AF128" s="84">
        <f>IFERROR($F128*$AE128,"")</f>
        <v/>
      </c>
      <c r="AG128" s="83" t="n"/>
      <c r="AH128" s="65" t="n"/>
    </row>
    <row r="129">
      <c r="B129" s="78" t="inlineStr">
        <is>
          <t>T. 126</t>
        </is>
      </c>
      <c r="C129" s="61">
        <f>IFERROR('01_Key Requirements &amp; Use Cases'!$C116,"")</f>
        <v/>
      </c>
      <c r="D129" s="62">
        <f>IFERROR('01_Key Requirements &amp; Use Cases'!$D116,"")</f>
        <v/>
      </c>
      <c r="E129" s="82" t="n"/>
      <c r="F129" s="30" t="n"/>
      <c r="G129" s="78" t="n"/>
      <c r="H129" s="79" t="n"/>
      <c r="I129" s="74" t="n"/>
      <c r="J129" s="74" t="n"/>
      <c r="K129" s="74" t="n"/>
      <c r="L129" s="74" t="n"/>
      <c r="M129" s="76">
        <f>IFERROR(AVERAGE($G129,$I129,$J129,$K129,$L129),"")</f>
        <v/>
      </c>
      <c r="N129" s="76">
        <f>IFERROR($F129*$M129,"")</f>
        <v/>
      </c>
      <c r="O129" s="83" t="n"/>
      <c r="P129" s="77" t="n"/>
      <c r="Q129" s="67" t="n"/>
      <c r="R129" s="67" t="n"/>
      <c r="S129" s="67" t="n"/>
      <c r="T129" s="67" t="n"/>
      <c r="U129" s="67" t="n"/>
      <c r="V129" s="84">
        <f>IFERROR(AVERAGE($Q129,$R129,$S129,$T129,$U129),"")</f>
        <v/>
      </c>
      <c r="W129" s="122" t="n"/>
      <c r="X129" s="83" t="n"/>
      <c r="Y129" s="65" t="n"/>
      <c r="Z129" s="67" t="n"/>
      <c r="AA129" s="67" t="n"/>
      <c r="AB129" s="67" t="n"/>
      <c r="AC129" s="67" t="n"/>
      <c r="AD129" s="67" t="n"/>
      <c r="AE129" s="84">
        <f>IFERROR(AVERAGE($Z129,$AA129,$AB129,$AC129,$AD129),"")</f>
        <v/>
      </c>
      <c r="AF129" s="84">
        <f>IFERROR($F129*$AE129,"")</f>
        <v/>
      </c>
      <c r="AG129" s="83" t="n"/>
      <c r="AH129" s="65" t="n"/>
    </row>
    <row r="130">
      <c r="B130" s="78" t="inlineStr">
        <is>
          <t>T. 127</t>
        </is>
      </c>
      <c r="C130" s="61">
        <f>IFERROR('01_Key Requirements &amp; Use Cases'!$C117,"")</f>
        <v/>
      </c>
      <c r="D130" s="62">
        <f>IFERROR('01_Key Requirements &amp; Use Cases'!$D117,"")</f>
        <v/>
      </c>
      <c r="E130" s="82" t="n"/>
      <c r="F130" s="30" t="n"/>
      <c r="G130" s="78" t="n"/>
      <c r="H130" s="79" t="n"/>
      <c r="I130" s="74" t="n"/>
      <c r="J130" s="74" t="n"/>
      <c r="K130" s="74" t="n"/>
      <c r="L130" s="74" t="n"/>
      <c r="M130" s="76">
        <f>IFERROR(AVERAGE($G130,$I130,$J130,$K130,$L130),"")</f>
        <v/>
      </c>
      <c r="N130" s="76">
        <f>IFERROR($F130*$M130,"")</f>
        <v/>
      </c>
      <c r="O130" s="83" t="n"/>
      <c r="P130" s="77" t="n"/>
      <c r="Q130" s="67" t="n"/>
      <c r="R130" s="67" t="n"/>
      <c r="S130" s="67" t="n"/>
      <c r="T130" s="67" t="n"/>
      <c r="U130" s="67" t="n"/>
      <c r="V130" s="84">
        <f>IFERROR(AVERAGE($Q130,$R130,$S130,$T130,$U130),"")</f>
        <v/>
      </c>
      <c r="W130" s="122" t="n"/>
      <c r="X130" s="83" t="n"/>
      <c r="Y130" s="65" t="n"/>
      <c r="Z130" s="67" t="n"/>
      <c r="AA130" s="67" t="n"/>
      <c r="AB130" s="67" t="n"/>
      <c r="AC130" s="67" t="n"/>
      <c r="AD130" s="67" t="n"/>
      <c r="AE130" s="84">
        <f>IFERROR(AVERAGE($Z130,$AA130,$AB130,$AC130,$AD130),"")</f>
        <v/>
      </c>
      <c r="AF130" s="84">
        <f>IFERROR($F130*$AE130,"")</f>
        <v/>
      </c>
      <c r="AG130" s="83" t="n"/>
      <c r="AH130" s="65" t="n"/>
    </row>
    <row r="131">
      <c r="B131" s="78" t="inlineStr">
        <is>
          <t>T. 128</t>
        </is>
      </c>
      <c r="C131" s="61">
        <f>IFERROR('01_Key Requirements &amp; Use Cases'!$C118,"")</f>
        <v/>
      </c>
      <c r="D131" s="62">
        <f>IFERROR('01_Key Requirements &amp; Use Cases'!$D118,"")</f>
        <v/>
      </c>
      <c r="E131" s="82" t="n"/>
      <c r="F131" s="30" t="n"/>
      <c r="G131" s="78" t="n"/>
      <c r="H131" s="79" t="n"/>
      <c r="I131" s="74" t="n"/>
      <c r="J131" s="74" t="n"/>
      <c r="K131" s="74" t="n"/>
      <c r="L131" s="74" t="n"/>
      <c r="M131" s="76">
        <f>IFERROR(AVERAGE($G131,$I131,$J131,$K131,$L131),"")</f>
        <v/>
      </c>
      <c r="N131" s="76">
        <f>IFERROR($F131*$M131,"")</f>
        <v/>
      </c>
      <c r="O131" s="83" t="n"/>
      <c r="P131" s="77" t="n"/>
      <c r="Q131" s="67" t="n"/>
      <c r="R131" s="67" t="n"/>
      <c r="S131" s="67" t="n"/>
      <c r="T131" s="67" t="n"/>
      <c r="U131" s="67" t="n"/>
      <c r="V131" s="84">
        <f>IFERROR(AVERAGE($Q131,$R131,$S131,$T131,$U131),"")</f>
        <v/>
      </c>
      <c r="W131" s="122" t="n"/>
      <c r="X131" s="83" t="n"/>
      <c r="Y131" s="65" t="n"/>
      <c r="Z131" s="67" t="n"/>
      <c r="AA131" s="67" t="n"/>
      <c r="AB131" s="67" t="n"/>
      <c r="AC131" s="67" t="n"/>
      <c r="AD131" s="67" t="n"/>
      <c r="AE131" s="84">
        <f>IFERROR(AVERAGE($Z131,$AA131,$AB131,$AC131,$AD131),"")</f>
        <v/>
      </c>
      <c r="AF131" s="84">
        <f>IFERROR($F131*$AE131,"")</f>
        <v/>
      </c>
      <c r="AG131" s="83" t="n"/>
      <c r="AH131" s="65" t="n"/>
    </row>
    <row r="132">
      <c r="B132" s="78" t="inlineStr">
        <is>
          <t>T. 129</t>
        </is>
      </c>
      <c r="C132" s="61">
        <f>IFERROR('01_Key Requirements &amp; Use Cases'!$C119,"")</f>
        <v/>
      </c>
      <c r="D132" s="62">
        <f>IFERROR('01_Key Requirements &amp; Use Cases'!$D119,"")</f>
        <v/>
      </c>
      <c r="E132" s="82" t="n"/>
      <c r="F132" s="30" t="n"/>
      <c r="G132" s="78" t="n"/>
      <c r="H132" s="79" t="n"/>
      <c r="I132" s="74" t="n"/>
      <c r="J132" s="74" t="n"/>
      <c r="K132" s="74" t="n"/>
      <c r="L132" s="74" t="n"/>
      <c r="M132" s="76">
        <f>IFERROR(AVERAGE($G132,$I132,$J132,$K132,$L132),"")</f>
        <v/>
      </c>
      <c r="N132" s="76">
        <f>IFERROR($F132*$M132,"")</f>
        <v/>
      </c>
      <c r="O132" s="83" t="n"/>
      <c r="P132" s="77" t="n"/>
      <c r="Q132" s="67" t="n"/>
      <c r="R132" s="67" t="n"/>
      <c r="S132" s="67" t="n"/>
      <c r="T132" s="67" t="n"/>
      <c r="U132" s="67" t="n"/>
      <c r="V132" s="84">
        <f>IFERROR(AVERAGE($Q132,$R132,$S132,$T132,$U132),"")</f>
        <v/>
      </c>
      <c r="W132" s="122" t="n"/>
      <c r="X132" s="83" t="n"/>
      <c r="Y132" s="65" t="n"/>
      <c r="Z132" s="67" t="n"/>
      <c r="AA132" s="67" t="n"/>
      <c r="AB132" s="67" t="n"/>
      <c r="AC132" s="67" t="n"/>
      <c r="AD132" s="67" t="n"/>
      <c r="AE132" s="84">
        <f>IFERROR(AVERAGE($Z132,$AA132,$AB132,$AC132,$AD132),"")</f>
        <v/>
      </c>
      <c r="AF132" s="84">
        <f>IFERROR($F132*$AE132,"")</f>
        <v/>
      </c>
      <c r="AG132" s="83" t="n"/>
      <c r="AH132" s="65" t="n"/>
    </row>
    <row r="133">
      <c r="B133" s="78" t="inlineStr">
        <is>
          <t>T. 130</t>
        </is>
      </c>
      <c r="C133" s="61">
        <f>IFERROR('01_Key Requirements &amp; Use Cases'!$C120,"")</f>
        <v/>
      </c>
      <c r="D133" s="62">
        <f>IFERROR('01_Key Requirements &amp; Use Cases'!$D120,"")</f>
        <v/>
      </c>
      <c r="E133" s="82" t="n"/>
      <c r="F133" s="30" t="n"/>
      <c r="G133" s="78" t="n"/>
      <c r="H133" s="79" t="n"/>
      <c r="I133" s="74" t="n"/>
      <c r="J133" s="74" t="n"/>
      <c r="K133" s="74" t="n"/>
      <c r="L133" s="74" t="n"/>
      <c r="M133" s="76">
        <f>IFERROR(AVERAGE($G133,$I133,$J133,$K133,$L133),"")</f>
        <v/>
      </c>
      <c r="N133" s="76">
        <f>IFERROR($F133*$M133,"")</f>
        <v/>
      </c>
      <c r="O133" s="83" t="n"/>
      <c r="P133" s="77" t="n"/>
      <c r="Q133" s="67" t="n"/>
      <c r="R133" s="67" t="n"/>
      <c r="S133" s="67" t="n"/>
      <c r="T133" s="67" t="n"/>
      <c r="U133" s="67" t="n"/>
      <c r="V133" s="84">
        <f>IFERROR(AVERAGE($Q133,$R133,$S133,$T133,$U133),"")</f>
        <v/>
      </c>
      <c r="W133" s="122" t="n"/>
      <c r="X133" s="83" t="n"/>
      <c r="Y133" s="65" t="n"/>
      <c r="Z133" s="67" t="n"/>
      <c r="AA133" s="67" t="n"/>
      <c r="AB133" s="67" t="n"/>
      <c r="AC133" s="67" t="n"/>
      <c r="AD133" s="67" t="n"/>
      <c r="AE133" s="84">
        <f>IFERROR(AVERAGE($Z133,$AA133,$AB133,$AC133,$AD133),"")</f>
        <v/>
      </c>
      <c r="AF133" s="84">
        <f>IFERROR($F133*$AE133,"")</f>
        <v/>
      </c>
      <c r="AG133" s="83" t="n"/>
      <c r="AH133" s="65" t="n"/>
    </row>
    <row r="134">
      <c r="B134" s="78" t="inlineStr">
        <is>
          <t>T. 131</t>
        </is>
      </c>
      <c r="C134" s="61">
        <f>IFERROR('01_Key Requirements &amp; Use Cases'!$C121,"")</f>
        <v/>
      </c>
      <c r="D134" s="62">
        <f>IFERROR('01_Key Requirements &amp; Use Cases'!$D121,"")</f>
        <v/>
      </c>
      <c r="E134" s="82" t="n"/>
      <c r="F134" s="30" t="n"/>
      <c r="G134" s="78" t="n"/>
      <c r="H134" s="79" t="n"/>
      <c r="I134" s="74" t="n"/>
      <c r="J134" s="74" t="n"/>
      <c r="K134" s="74" t="n"/>
      <c r="L134" s="74" t="n"/>
      <c r="M134" s="76">
        <f>IFERROR(AVERAGE($G134,$I134,$J134,$K134,$L134),"")</f>
        <v/>
      </c>
      <c r="N134" s="76">
        <f>IFERROR($F134*$M134,"")</f>
        <v/>
      </c>
      <c r="O134" s="83" t="n"/>
      <c r="P134" s="77" t="n"/>
      <c r="Q134" s="67" t="n"/>
      <c r="R134" s="67" t="n"/>
      <c r="S134" s="67" t="n"/>
      <c r="T134" s="67" t="n"/>
      <c r="U134" s="67" t="n"/>
      <c r="V134" s="84">
        <f>IFERROR(AVERAGE($Q134,$R134,$S134,$T134,$U134),"")</f>
        <v/>
      </c>
      <c r="W134" s="122" t="n"/>
      <c r="X134" s="83" t="n"/>
      <c r="Y134" s="65" t="n"/>
      <c r="Z134" s="67" t="n"/>
      <c r="AA134" s="67" t="n"/>
      <c r="AB134" s="67" t="n"/>
      <c r="AC134" s="67" t="n"/>
      <c r="AD134" s="67" t="n"/>
      <c r="AE134" s="84">
        <f>IFERROR(AVERAGE($Z134,$AA134,$AB134,$AC134,$AD134),"")</f>
        <v/>
      </c>
      <c r="AF134" s="84">
        <f>IFERROR($F134*$AE134,"")</f>
        <v/>
      </c>
      <c r="AG134" s="83" t="n"/>
      <c r="AH134" s="65" t="n"/>
    </row>
    <row r="135">
      <c r="B135" s="78" t="inlineStr">
        <is>
          <t>T. 132</t>
        </is>
      </c>
      <c r="C135" s="61">
        <f>IFERROR('01_Key Requirements &amp; Use Cases'!$C122,"")</f>
        <v/>
      </c>
      <c r="D135" s="62">
        <f>IFERROR('01_Key Requirements &amp; Use Cases'!$D122,"")</f>
        <v/>
      </c>
      <c r="E135" s="82" t="n"/>
      <c r="F135" s="30" t="n"/>
      <c r="G135" s="78" t="n"/>
      <c r="H135" s="79" t="n"/>
      <c r="I135" s="74" t="n"/>
      <c r="J135" s="74" t="n"/>
      <c r="K135" s="74" t="n"/>
      <c r="L135" s="74" t="n"/>
      <c r="M135" s="76">
        <f>IFERROR(AVERAGE($G135,$I135,$J135,$K135,$L135),"")</f>
        <v/>
      </c>
      <c r="N135" s="76">
        <f>IFERROR($F135*$M135,"")</f>
        <v/>
      </c>
      <c r="O135" s="83" t="n"/>
      <c r="P135" s="77" t="n"/>
      <c r="Q135" s="67" t="n"/>
      <c r="R135" s="67" t="n"/>
      <c r="S135" s="67" t="n"/>
      <c r="T135" s="67" t="n"/>
      <c r="U135" s="67" t="n"/>
      <c r="V135" s="84">
        <f>IFERROR(AVERAGE($Q135,$R135,$S135,$T135,$U135),"")</f>
        <v/>
      </c>
      <c r="W135" s="122" t="n"/>
      <c r="X135" s="83" t="n"/>
      <c r="Y135" s="65" t="n"/>
      <c r="Z135" s="67" t="n"/>
      <c r="AA135" s="67" t="n"/>
      <c r="AB135" s="67" t="n"/>
      <c r="AC135" s="67" t="n"/>
      <c r="AD135" s="67" t="n"/>
      <c r="AE135" s="84">
        <f>IFERROR(AVERAGE($Z135,$AA135,$AB135,$AC135,$AD135),"")</f>
        <v/>
      </c>
      <c r="AF135" s="84">
        <f>IFERROR($F135*$AE135,"")</f>
        <v/>
      </c>
      <c r="AG135" s="83" t="n"/>
      <c r="AH135" s="65" t="n"/>
    </row>
    <row r="136">
      <c r="B136" s="78" t="inlineStr">
        <is>
          <t>T. 133</t>
        </is>
      </c>
      <c r="C136" s="61">
        <f>IFERROR('01_Key Requirements &amp; Use Cases'!$C123,"")</f>
        <v/>
      </c>
      <c r="D136" s="62">
        <f>IFERROR('01_Key Requirements &amp; Use Cases'!$D123,"")</f>
        <v/>
      </c>
      <c r="E136" s="82" t="n"/>
      <c r="F136" s="30" t="n"/>
      <c r="G136" s="78" t="n"/>
      <c r="H136" s="79" t="n"/>
      <c r="I136" s="74" t="n"/>
      <c r="J136" s="74" t="n"/>
      <c r="K136" s="74" t="n"/>
      <c r="L136" s="74" t="n"/>
      <c r="M136" s="76">
        <f>IFERROR(AVERAGE($G136,$I136,$J136,$K136,$L136),"")</f>
        <v/>
      </c>
      <c r="N136" s="76">
        <f>IFERROR($F136*$M136,"")</f>
        <v/>
      </c>
      <c r="O136" s="83" t="n"/>
      <c r="P136" s="77" t="n"/>
      <c r="Q136" s="67" t="n"/>
      <c r="R136" s="67" t="n"/>
      <c r="S136" s="67" t="n"/>
      <c r="T136" s="67" t="n"/>
      <c r="U136" s="67" t="n"/>
      <c r="V136" s="84">
        <f>IFERROR(AVERAGE($Q136,$R136,$S136,$T136,$U136),"")</f>
        <v/>
      </c>
      <c r="W136" s="122" t="n"/>
      <c r="X136" s="83" t="n"/>
      <c r="Y136" s="65" t="n"/>
      <c r="Z136" s="67" t="n"/>
      <c r="AA136" s="67" t="n"/>
      <c r="AB136" s="67" t="n"/>
      <c r="AC136" s="67" t="n"/>
      <c r="AD136" s="67" t="n"/>
      <c r="AE136" s="84">
        <f>IFERROR(AVERAGE($Z136,$AA136,$AB136,$AC136,$AD136),"")</f>
        <v/>
      </c>
      <c r="AF136" s="84">
        <f>IFERROR($F136*$AE136,"")</f>
        <v/>
      </c>
      <c r="AG136" s="83" t="n"/>
      <c r="AH136" s="65" t="n"/>
    </row>
    <row r="137">
      <c r="B137" s="78" t="inlineStr">
        <is>
          <t>T. 134</t>
        </is>
      </c>
      <c r="C137" s="61">
        <f>IFERROR('01_Key Requirements &amp; Use Cases'!$C124,"")</f>
        <v/>
      </c>
      <c r="D137" s="62">
        <f>IFERROR('01_Key Requirements &amp; Use Cases'!$D124,"")</f>
        <v/>
      </c>
      <c r="E137" s="82" t="n"/>
      <c r="F137" s="30" t="n"/>
      <c r="G137" s="78" t="n"/>
      <c r="H137" s="79" t="n"/>
      <c r="I137" s="74" t="n"/>
      <c r="J137" s="74" t="n"/>
      <c r="K137" s="74" t="n"/>
      <c r="L137" s="74" t="n"/>
      <c r="M137" s="76">
        <f>IFERROR(AVERAGE($G137,$I137,$J137,$K137,$L137),"")</f>
        <v/>
      </c>
      <c r="N137" s="76">
        <f>IFERROR($F137*$M137,"")</f>
        <v/>
      </c>
      <c r="O137" s="83" t="n"/>
      <c r="P137" s="77" t="n"/>
      <c r="Q137" s="67" t="n"/>
      <c r="R137" s="67" t="n"/>
      <c r="S137" s="67" t="n"/>
      <c r="T137" s="67" t="n"/>
      <c r="U137" s="67" t="n"/>
      <c r="V137" s="84">
        <f>IFERROR(AVERAGE($Q137,$R137,$S137,$T137,$U137),"")</f>
        <v/>
      </c>
      <c r="W137" s="122" t="n"/>
      <c r="X137" s="83" t="n"/>
      <c r="Y137" s="65" t="n"/>
      <c r="Z137" s="67" t="n"/>
      <c r="AA137" s="67" t="n"/>
      <c r="AB137" s="67" t="n"/>
      <c r="AC137" s="67" t="n"/>
      <c r="AD137" s="67" t="n"/>
      <c r="AE137" s="84">
        <f>IFERROR(AVERAGE($Z137,$AA137,$AB137,$AC137,$AD137),"")</f>
        <v/>
      </c>
      <c r="AF137" s="84">
        <f>IFERROR($F137*$AE137,"")</f>
        <v/>
      </c>
      <c r="AG137" s="83" t="n"/>
      <c r="AH137" s="65" t="n"/>
    </row>
    <row r="138">
      <c r="B138" s="78" t="inlineStr">
        <is>
          <t>T. 135</t>
        </is>
      </c>
      <c r="C138" s="61">
        <f>IFERROR('01_Key Requirements &amp; Use Cases'!$C125,"")</f>
        <v/>
      </c>
      <c r="D138" s="62">
        <f>IFERROR('01_Key Requirements &amp; Use Cases'!$D125,"")</f>
        <v/>
      </c>
      <c r="E138" s="82" t="n"/>
      <c r="F138" s="30" t="n"/>
      <c r="G138" s="78" t="n"/>
      <c r="H138" s="79" t="n"/>
      <c r="I138" s="74" t="n"/>
      <c r="J138" s="74" t="n"/>
      <c r="K138" s="74" t="n"/>
      <c r="L138" s="74" t="n"/>
      <c r="M138" s="76">
        <f>IFERROR(AVERAGE($G138,$I138,$J138,$K138,$L138),"")</f>
        <v/>
      </c>
      <c r="N138" s="76">
        <f>IFERROR($F138*$M138,"")</f>
        <v/>
      </c>
      <c r="O138" s="83" t="n"/>
      <c r="P138" s="77" t="n"/>
      <c r="Q138" s="67" t="n"/>
      <c r="R138" s="67" t="n"/>
      <c r="S138" s="67" t="n"/>
      <c r="T138" s="67" t="n"/>
      <c r="U138" s="67" t="n"/>
      <c r="V138" s="84">
        <f>IFERROR(AVERAGE($Q138,$R138,$S138,$T138,$U138),"")</f>
        <v/>
      </c>
      <c r="W138" s="122" t="n"/>
      <c r="X138" s="83" t="n"/>
      <c r="Y138" s="65" t="n"/>
      <c r="Z138" s="67" t="n"/>
      <c r="AA138" s="67" t="n"/>
      <c r="AB138" s="67" t="n"/>
      <c r="AC138" s="67" t="n"/>
      <c r="AD138" s="67" t="n"/>
      <c r="AE138" s="84">
        <f>IFERROR(AVERAGE($Z138,$AA138,$AB138,$AC138,$AD138),"")</f>
        <v/>
      </c>
      <c r="AF138" s="84">
        <f>IFERROR($F138*$AE138,"")</f>
        <v/>
      </c>
      <c r="AG138" s="83" t="n"/>
      <c r="AH138" s="65" t="n"/>
    </row>
    <row r="139">
      <c r="B139" s="78" t="inlineStr">
        <is>
          <t>T. 136</t>
        </is>
      </c>
      <c r="C139" s="61">
        <f>IFERROR('01_Key Requirements &amp; Use Cases'!$C126,"")</f>
        <v/>
      </c>
      <c r="D139" s="62">
        <f>IFERROR('01_Key Requirements &amp; Use Cases'!$D126,"")</f>
        <v/>
      </c>
      <c r="E139" s="82" t="n"/>
      <c r="F139" s="30" t="n"/>
      <c r="G139" s="78" t="n"/>
      <c r="H139" s="79" t="n"/>
      <c r="I139" s="74" t="n"/>
      <c r="J139" s="74" t="n"/>
      <c r="K139" s="74" t="n"/>
      <c r="L139" s="74" t="n"/>
      <c r="M139" s="76">
        <f>IFERROR(AVERAGE($G139,$I139,$J139,$K139,$L139),"")</f>
        <v/>
      </c>
      <c r="N139" s="76">
        <f>IFERROR($F139*$M139,"")</f>
        <v/>
      </c>
      <c r="O139" s="83" t="n"/>
      <c r="P139" s="77" t="n"/>
      <c r="Q139" s="67" t="n"/>
      <c r="R139" s="67" t="n"/>
      <c r="S139" s="67" t="n"/>
      <c r="T139" s="67" t="n"/>
      <c r="U139" s="67" t="n"/>
      <c r="V139" s="84">
        <f>IFERROR(AVERAGE($Q139,$R139,$S139,$T139,$U139),"")</f>
        <v/>
      </c>
      <c r="W139" s="122" t="n"/>
      <c r="X139" s="83" t="n"/>
      <c r="Y139" s="65" t="n"/>
      <c r="Z139" s="67" t="n"/>
      <c r="AA139" s="67" t="n"/>
      <c r="AB139" s="67" t="n"/>
      <c r="AC139" s="67" t="n"/>
      <c r="AD139" s="67" t="n"/>
      <c r="AE139" s="84">
        <f>IFERROR(AVERAGE($Z139,$AA139,$AB139,$AC139,$AD139),"")</f>
        <v/>
      </c>
      <c r="AF139" s="84">
        <f>IFERROR($F139*$AE139,"")</f>
        <v/>
      </c>
      <c r="AG139" s="83" t="n"/>
      <c r="AH139" s="65" t="n"/>
    </row>
    <row r="140">
      <c r="B140" s="78" t="inlineStr">
        <is>
          <t>T. 137</t>
        </is>
      </c>
      <c r="C140" s="61">
        <f>IFERROR('01_Key Requirements &amp; Use Cases'!$C127,"")</f>
        <v/>
      </c>
      <c r="D140" s="62">
        <f>IFERROR('01_Key Requirements &amp; Use Cases'!$D127,"")</f>
        <v/>
      </c>
      <c r="E140" s="82" t="n"/>
      <c r="F140" s="30" t="n"/>
      <c r="G140" s="78" t="n"/>
      <c r="H140" s="79" t="n"/>
      <c r="I140" s="74" t="n"/>
      <c r="J140" s="74" t="n"/>
      <c r="K140" s="74" t="n"/>
      <c r="L140" s="74" t="n"/>
      <c r="M140" s="76">
        <f>IFERROR(AVERAGE($G140,$I140,$J140,$K140,$L140),"")</f>
        <v/>
      </c>
      <c r="N140" s="76">
        <f>IFERROR($F140*$M140,"")</f>
        <v/>
      </c>
      <c r="O140" s="83" t="n"/>
      <c r="P140" s="77" t="n"/>
      <c r="Q140" s="67" t="n"/>
      <c r="R140" s="67" t="n"/>
      <c r="S140" s="67" t="n"/>
      <c r="T140" s="67" t="n"/>
      <c r="U140" s="67" t="n"/>
      <c r="V140" s="84">
        <f>IFERROR(AVERAGE($Q140,$R140,$S140,$T140,$U140),"")</f>
        <v/>
      </c>
      <c r="W140" s="122" t="n"/>
      <c r="X140" s="83" t="n"/>
      <c r="Y140" s="65" t="n"/>
      <c r="Z140" s="67" t="n"/>
      <c r="AA140" s="67" t="n"/>
      <c r="AB140" s="67" t="n"/>
      <c r="AC140" s="67" t="n"/>
      <c r="AD140" s="67" t="n"/>
      <c r="AE140" s="84">
        <f>IFERROR(AVERAGE($Z140,$AA140,$AB140,$AC140,$AD140),"")</f>
        <v/>
      </c>
      <c r="AF140" s="84">
        <f>IFERROR($F140*$AE140,"")</f>
        <v/>
      </c>
      <c r="AG140" s="83" t="n"/>
      <c r="AH140" s="65" t="n"/>
    </row>
    <row r="141">
      <c r="B141" s="78" t="inlineStr">
        <is>
          <t>T. 138</t>
        </is>
      </c>
      <c r="C141" s="61">
        <f>IFERROR('01_Key Requirements &amp; Use Cases'!$C128,"")</f>
        <v/>
      </c>
      <c r="D141" s="62">
        <f>IFERROR('01_Key Requirements &amp; Use Cases'!$D128,"")</f>
        <v/>
      </c>
      <c r="E141" s="82" t="n"/>
      <c r="F141" s="30" t="n"/>
      <c r="G141" s="78" t="n"/>
      <c r="H141" s="79" t="n"/>
      <c r="I141" s="74" t="n"/>
      <c r="J141" s="74" t="n"/>
      <c r="K141" s="74" t="n"/>
      <c r="L141" s="74" t="n"/>
      <c r="M141" s="76">
        <f>IFERROR(AVERAGE($G141,$I141,$J141,$K141,$L141),"")</f>
        <v/>
      </c>
      <c r="N141" s="76">
        <f>IFERROR($F141*$M141,"")</f>
        <v/>
      </c>
      <c r="O141" s="83" t="n"/>
      <c r="P141" s="77" t="n"/>
      <c r="Q141" s="67" t="n"/>
      <c r="R141" s="67" t="n"/>
      <c r="S141" s="67" t="n"/>
      <c r="T141" s="67" t="n"/>
      <c r="U141" s="67" t="n"/>
      <c r="V141" s="84">
        <f>IFERROR(AVERAGE($Q141,$R141,$S141,$T141,$U141),"")</f>
        <v/>
      </c>
      <c r="W141" s="122" t="n"/>
      <c r="X141" s="83" t="n"/>
      <c r="Y141" s="65" t="n"/>
      <c r="Z141" s="67" t="n"/>
      <c r="AA141" s="67" t="n"/>
      <c r="AB141" s="67" t="n"/>
      <c r="AC141" s="67" t="n"/>
      <c r="AD141" s="67" t="n"/>
      <c r="AE141" s="84">
        <f>IFERROR(AVERAGE($Z141,$AA141,$AB141,$AC141,$AD141),"")</f>
        <v/>
      </c>
      <c r="AF141" s="84">
        <f>IFERROR($F141*$AE141,"")</f>
        <v/>
      </c>
      <c r="AG141" s="83" t="n"/>
      <c r="AH141" s="65" t="n"/>
    </row>
    <row r="142">
      <c r="B142" s="78" t="inlineStr">
        <is>
          <t>T. 139</t>
        </is>
      </c>
      <c r="C142" s="61">
        <f>IFERROR('01_Key Requirements &amp; Use Cases'!$C129,"")</f>
        <v/>
      </c>
      <c r="D142" s="62">
        <f>IFERROR('01_Key Requirements &amp; Use Cases'!$D129,"")</f>
        <v/>
      </c>
      <c r="E142" s="82" t="n"/>
      <c r="F142" s="30" t="n"/>
      <c r="G142" s="78" t="n"/>
      <c r="H142" s="79" t="n"/>
      <c r="I142" s="74" t="n"/>
      <c r="J142" s="74" t="n"/>
      <c r="K142" s="74" t="n"/>
      <c r="L142" s="74" t="n"/>
      <c r="M142" s="76">
        <f>IFERROR(AVERAGE($G142,$I142,$J142,$K142,$L142),"")</f>
        <v/>
      </c>
      <c r="N142" s="76">
        <f>IFERROR($F142*$M142,"")</f>
        <v/>
      </c>
      <c r="O142" s="83" t="n"/>
      <c r="P142" s="77" t="n"/>
      <c r="Q142" s="67" t="n"/>
      <c r="R142" s="67" t="n"/>
      <c r="S142" s="67" t="n"/>
      <c r="T142" s="67" t="n"/>
      <c r="U142" s="67" t="n"/>
      <c r="V142" s="84">
        <f>IFERROR(AVERAGE($Q142,$R142,$S142,$T142,$U142),"")</f>
        <v/>
      </c>
      <c r="W142" s="122" t="n"/>
      <c r="X142" s="83" t="n"/>
      <c r="Y142" s="65" t="n"/>
      <c r="Z142" s="67" t="n"/>
      <c r="AA142" s="67" t="n"/>
      <c r="AB142" s="67" t="n"/>
      <c r="AC142" s="67" t="n"/>
      <c r="AD142" s="67" t="n"/>
      <c r="AE142" s="84">
        <f>IFERROR(AVERAGE($Z142,$AA142,$AB142,$AC142,$AD142),"")</f>
        <v/>
      </c>
      <c r="AF142" s="84">
        <f>IFERROR($F142*$AE142,"")</f>
        <v/>
      </c>
      <c r="AG142" s="83" t="n"/>
      <c r="AH142" s="65" t="n"/>
    </row>
    <row r="143">
      <c r="B143" s="78" t="inlineStr">
        <is>
          <t>T. 140</t>
        </is>
      </c>
      <c r="C143" s="61">
        <f>IFERROR('01_Key Requirements &amp; Use Cases'!$C130,"")</f>
        <v/>
      </c>
      <c r="D143" s="62">
        <f>IFERROR('01_Key Requirements &amp; Use Cases'!$D130,"")</f>
        <v/>
      </c>
      <c r="E143" s="82" t="n"/>
      <c r="F143" s="30" t="n"/>
      <c r="G143" s="78" t="n"/>
      <c r="H143" s="79" t="n"/>
      <c r="I143" s="74" t="n"/>
      <c r="J143" s="74" t="n"/>
      <c r="K143" s="74" t="n"/>
      <c r="L143" s="74" t="n"/>
      <c r="M143" s="76">
        <f>IFERROR(AVERAGE($G143,$I143,$J143,$K143,$L143),"")</f>
        <v/>
      </c>
      <c r="N143" s="76">
        <f>IFERROR($F143*$M143,"")</f>
        <v/>
      </c>
      <c r="O143" s="83" t="n"/>
      <c r="P143" s="77" t="n"/>
      <c r="Q143" s="67" t="n"/>
      <c r="R143" s="67" t="n"/>
      <c r="S143" s="67" t="n"/>
      <c r="T143" s="67" t="n"/>
      <c r="U143" s="67" t="n"/>
      <c r="V143" s="84">
        <f>IFERROR(AVERAGE($Q143,$R143,$S143,$T143,$U143),"")</f>
        <v/>
      </c>
      <c r="W143" s="122" t="n"/>
      <c r="X143" s="83" t="n"/>
      <c r="Y143" s="65" t="n"/>
      <c r="Z143" s="67" t="n"/>
      <c r="AA143" s="67" t="n"/>
      <c r="AB143" s="67" t="n"/>
      <c r="AC143" s="67" t="n"/>
      <c r="AD143" s="67" t="n"/>
      <c r="AE143" s="84">
        <f>IFERROR(AVERAGE($Z143,$AA143,$AB143,$AC143,$AD143),"")</f>
        <v/>
      </c>
      <c r="AF143" s="84">
        <f>IFERROR($F143*$AE143,"")</f>
        <v/>
      </c>
      <c r="AG143" s="83" t="n"/>
      <c r="AH143" s="65" t="n"/>
    </row>
    <row r="144">
      <c r="B144" s="78" t="inlineStr">
        <is>
          <t>T. 141</t>
        </is>
      </c>
      <c r="C144" s="61">
        <f>IFERROR('01_Key Requirements &amp; Use Cases'!$C131,"")</f>
        <v/>
      </c>
      <c r="D144" s="62">
        <f>IFERROR('01_Key Requirements &amp; Use Cases'!$D131,"")</f>
        <v/>
      </c>
      <c r="E144" s="82" t="n"/>
      <c r="F144" s="30" t="n"/>
      <c r="G144" s="78" t="n"/>
      <c r="H144" s="79" t="n"/>
      <c r="I144" s="74" t="n"/>
      <c r="J144" s="74" t="n"/>
      <c r="K144" s="74" t="n"/>
      <c r="L144" s="74" t="n"/>
      <c r="M144" s="76">
        <f>IFERROR(AVERAGE($G144,$I144,$J144,$K144,$L144),"")</f>
        <v/>
      </c>
      <c r="N144" s="76">
        <f>IFERROR($F144*$M144,"")</f>
        <v/>
      </c>
      <c r="O144" s="83" t="n"/>
      <c r="P144" s="77" t="n"/>
      <c r="Q144" s="67" t="n"/>
      <c r="R144" s="67" t="n"/>
      <c r="S144" s="67" t="n"/>
      <c r="T144" s="67" t="n"/>
      <c r="U144" s="67" t="n"/>
      <c r="V144" s="84">
        <f>IFERROR(AVERAGE($Q144,$R144,$S144,$T144,$U144),"")</f>
        <v/>
      </c>
      <c r="W144" s="122" t="n"/>
      <c r="X144" s="83" t="n"/>
      <c r="Y144" s="65" t="n"/>
      <c r="Z144" s="67" t="n"/>
      <c r="AA144" s="67" t="n"/>
      <c r="AB144" s="67" t="n"/>
      <c r="AC144" s="67" t="n"/>
      <c r="AD144" s="67" t="n"/>
      <c r="AE144" s="84">
        <f>IFERROR(AVERAGE($Z144,$AA144,$AB144,$AC144,$AD144),"")</f>
        <v/>
      </c>
      <c r="AF144" s="84">
        <f>IFERROR($F144*$AE144,"")</f>
        <v/>
      </c>
      <c r="AG144" s="83" t="n"/>
      <c r="AH144" s="65" t="n"/>
    </row>
    <row r="145">
      <c r="B145" s="78" t="inlineStr">
        <is>
          <t>T. 142</t>
        </is>
      </c>
      <c r="C145" s="61">
        <f>IFERROR('01_Key Requirements &amp; Use Cases'!$C132,"")</f>
        <v/>
      </c>
      <c r="D145" s="62">
        <f>IFERROR('01_Key Requirements &amp; Use Cases'!$D132,"")</f>
        <v/>
      </c>
      <c r="E145" s="82" t="n"/>
      <c r="F145" s="30" t="n"/>
      <c r="G145" s="78" t="n"/>
      <c r="H145" s="79" t="n"/>
      <c r="I145" s="74" t="n"/>
      <c r="J145" s="74" t="n"/>
      <c r="K145" s="74" t="n"/>
      <c r="L145" s="74" t="n"/>
      <c r="M145" s="76">
        <f>IFERROR(AVERAGE($G145,$I145,$J145,$K145,$L145),"")</f>
        <v/>
      </c>
      <c r="N145" s="76">
        <f>IFERROR($F145*$M145,"")</f>
        <v/>
      </c>
      <c r="O145" s="83" t="n"/>
      <c r="P145" s="77" t="n"/>
      <c r="Q145" s="67" t="n"/>
      <c r="R145" s="67" t="n"/>
      <c r="S145" s="67" t="n"/>
      <c r="T145" s="67" t="n"/>
      <c r="U145" s="67" t="n"/>
      <c r="V145" s="84">
        <f>IFERROR(AVERAGE($Q145,$R145,$S145,$T145,$U145),"")</f>
        <v/>
      </c>
      <c r="W145" s="122" t="n"/>
      <c r="X145" s="83" t="n"/>
      <c r="Y145" s="65" t="n"/>
      <c r="Z145" s="67" t="n"/>
      <c r="AA145" s="67" t="n"/>
      <c r="AB145" s="67" t="n"/>
      <c r="AC145" s="67" t="n"/>
      <c r="AD145" s="67" t="n"/>
      <c r="AE145" s="84">
        <f>IFERROR(AVERAGE($Z145,$AA145,$AB145,$AC145,$AD145),"")</f>
        <v/>
      </c>
      <c r="AF145" s="84">
        <f>IFERROR($F145*$AE145,"")</f>
        <v/>
      </c>
      <c r="AG145" s="83" t="n"/>
      <c r="AH145" s="65" t="n"/>
    </row>
    <row r="146">
      <c r="B146" s="78" t="inlineStr">
        <is>
          <t>T. 143</t>
        </is>
      </c>
      <c r="C146" s="61">
        <f>IFERROR('01_Key Requirements &amp; Use Cases'!$C133,"")</f>
        <v/>
      </c>
      <c r="D146" s="62">
        <f>IFERROR('01_Key Requirements &amp; Use Cases'!$D133,"")</f>
        <v/>
      </c>
      <c r="E146" s="82" t="n"/>
      <c r="F146" s="30" t="n"/>
      <c r="G146" s="78" t="n"/>
      <c r="H146" s="79" t="n"/>
      <c r="I146" s="74" t="n"/>
      <c r="J146" s="74" t="n"/>
      <c r="K146" s="74" t="n"/>
      <c r="L146" s="74" t="n"/>
      <c r="M146" s="76">
        <f>IFERROR(AVERAGE($G146,$I146,$J146,$K146,$L146),"")</f>
        <v/>
      </c>
      <c r="N146" s="76">
        <f>IFERROR($F146*$M146,"")</f>
        <v/>
      </c>
      <c r="O146" s="83" t="n"/>
      <c r="P146" s="77" t="n"/>
      <c r="Q146" s="67" t="n"/>
      <c r="R146" s="67" t="n"/>
      <c r="S146" s="67" t="n"/>
      <c r="T146" s="67" t="n"/>
      <c r="U146" s="67" t="n"/>
      <c r="V146" s="84">
        <f>IFERROR(AVERAGE($Q146,$R146,$S146,$T146,$U146),"")</f>
        <v/>
      </c>
      <c r="W146" s="122" t="n"/>
      <c r="X146" s="83" t="n"/>
      <c r="Y146" s="65" t="n"/>
      <c r="Z146" s="67" t="n"/>
      <c r="AA146" s="67" t="n"/>
      <c r="AB146" s="67" t="n"/>
      <c r="AC146" s="67" t="n"/>
      <c r="AD146" s="67" t="n"/>
      <c r="AE146" s="84">
        <f>IFERROR(AVERAGE($Z146,$AA146,$AB146,$AC146,$AD146),"")</f>
        <v/>
      </c>
      <c r="AF146" s="84">
        <f>IFERROR($F146*$AE146,"")</f>
        <v/>
      </c>
      <c r="AG146" s="83" t="n"/>
      <c r="AH146" s="65" t="n"/>
    </row>
    <row r="147">
      <c r="B147" s="78" t="inlineStr">
        <is>
          <t>T. 144</t>
        </is>
      </c>
      <c r="C147" s="61">
        <f>IFERROR('01_Key Requirements &amp; Use Cases'!$C134,"")</f>
        <v/>
      </c>
      <c r="D147" s="62">
        <f>IFERROR('01_Key Requirements &amp; Use Cases'!$D134,"")</f>
        <v/>
      </c>
      <c r="E147" s="82" t="n"/>
      <c r="F147" s="30" t="n"/>
      <c r="G147" s="78" t="n"/>
      <c r="H147" s="79" t="n"/>
      <c r="I147" s="74" t="n"/>
      <c r="J147" s="74" t="n"/>
      <c r="K147" s="74" t="n"/>
      <c r="L147" s="74" t="n"/>
      <c r="M147" s="76">
        <f>IFERROR(AVERAGE($G147,$I147,$J147,$K147,$L147),"")</f>
        <v/>
      </c>
      <c r="N147" s="76">
        <f>IFERROR($F147*$M147,"")</f>
        <v/>
      </c>
      <c r="O147" s="83" t="n"/>
      <c r="P147" s="77" t="n"/>
      <c r="Q147" s="67" t="n"/>
      <c r="R147" s="67" t="n"/>
      <c r="S147" s="67" t="n"/>
      <c r="T147" s="67" t="n"/>
      <c r="U147" s="67" t="n"/>
      <c r="V147" s="84">
        <f>IFERROR(AVERAGE($Q147,$R147,$S147,$T147,$U147),"")</f>
        <v/>
      </c>
      <c r="W147" s="122" t="n"/>
      <c r="X147" s="83" t="n"/>
      <c r="Y147" s="65" t="n"/>
      <c r="Z147" s="67" t="n"/>
      <c r="AA147" s="67" t="n"/>
      <c r="AB147" s="67" t="n"/>
      <c r="AC147" s="67" t="n"/>
      <c r="AD147" s="67" t="n"/>
      <c r="AE147" s="84">
        <f>IFERROR(AVERAGE($Z147,$AA147,$AB147,$AC147,$AD147),"")</f>
        <v/>
      </c>
      <c r="AF147" s="84">
        <f>IFERROR($F147*$AE147,"")</f>
        <v/>
      </c>
      <c r="AG147" s="83" t="n"/>
      <c r="AH147" s="65" t="n"/>
    </row>
    <row r="148">
      <c r="B148" s="78" t="inlineStr">
        <is>
          <t>T. 145</t>
        </is>
      </c>
      <c r="C148" s="61">
        <f>IFERROR('01_Key Requirements &amp; Use Cases'!$C135,"")</f>
        <v/>
      </c>
      <c r="D148" s="62">
        <f>IFERROR('01_Key Requirements &amp; Use Cases'!$D135,"")</f>
        <v/>
      </c>
      <c r="E148" s="82" t="n"/>
      <c r="F148" s="30" t="n"/>
      <c r="G148" s="78" t="n"/>
      <c r="H148" s="79" t="n"/>
      <c r="I148" s="74" t="n"/>
      <c r="J148" s="74" t="n"/>
      <c r="K148" s="74" t="n"/>
      <c r="L148" s="74" t="n"/>
      <c r="M148" s="76">
        <f>IFERROR(AVERAGE($G148,$I148,$J148,$K148,$L148),"")</f>
        <v/>
      </c>
      <c r="N148" s="76">
        <f>IFERROR($F148*$M148,"")</f>
        <v/>
      </c>
      <c r="O148" s="83" t="n"/>
      <c r="P148" s="77" t="n"/>
      <c r="Q148" s="67" t="n"/>
      <c r="R148" s="67" t="n"/>
      <c r="S148" s="67" t="n"/>
      <c r="T148" s="67" t="n"/>
      <c r="U148" s="67" t="n"/>
      <c r="V148" s="84">
        <f>IFERROR(AVERAGE($Q148,$R148,$S148,$T148,$U148),"")</f>
        <v/>
      </c>
      <c r="W148" s="122" t="n"/>
      <c r="X148" s="83" t="n"/>
      <c r="Y148" s="65" t="n"/>
      <c r="Z148" s="67" t="n"/>
      <c r="AA148" s="67" t="n"/>
      <c r="AB148" s="67" t="n"/>
      <c r="AC148" s="67" t="n"/>
      <c r="AD148" s="67" t="n"/>
      <c r="AE148" s="84">
        <f>IFERROR(AVERAGE($Z148,$AA148,$AB148,$AC148,$AD148),"")</f>
        <v/>
      </c>
      <c r="AF148" s="84">
        <f>IFERROR($F148*$AE148,"")</f>
        <v/>
      </c>
      <c r="AG148" s="83" t="n"/>
      <c r="AH148" s="65" t="n"/>
    </row>
    <row r="149">
      <c r="B149" s="78" t="inlineStr">
        <is>
          <t>T. 146</t>
        </is>
      </c>
      <c r="C149" s="61">
        <f>IFERROR('01_Key Requirements &amp; Use Cases'!$C136,"")</f>
        <v/>
      </c>
      <c r="D149" s="62">
        <f>IFERROR('01_Key Requirements &amp; Use Cases'!$D136,"")</f>
        <v/>
      </c>
      <c r="E149" s="82" t="n"/>
      <c r="F149" s="30" t="n"/>
      <c r="G149" s="78" t="n"/>
      <c r="H149" s="79" t="n"/>
      <c r="I149" s="74" t="n"/>
      <c r="J149" s="74" t="n"/>
      <c r="K149" s="74" t="n"/>
      <c r="L149" s="74" t="n"/>
      <c r="M149" s="76">
        <f>IFERROR(AVERAGE($G149,$I149,$J149,$K149,$L149),"")</f>
        <v/>
      </c>
      <c r="N149" s="76">
        <f>IFERROR($F149*$M149,"")</f>
        <v/>
      </c>
      <c r="O149" s="83" t="n"/>
      <c r="P149" s="77" t="n"/>
      <c r="Q149" s="67" t="n"/>
      <c r="R149" s="67" t="n"/>
      <c r="S149" s="67" t="n"/>
      <c r="T149" s="67" t="n"/>
      <c r="U149" s="67" t="n"/>
      <c r="V149" s="84">
        <f>IFERROR(AVERAGE($Q149,$R149,$S149,$T149,$U149),"")</f>
        <v/>
      </c>
      <c r="W149" s="122" t="n"/>
      <c r="X149" s="83" t="n"/>
      <c r="Y149" s="65" t="n"/>
      <c r="Z149" s="67" t="n"/>
      <c r="AA149" s="67" t="n"/>
      <c r="AB149" s="67" t="n"/>
      <c r="AC149" s="67" t="n"/>
      <c r="AD149" s="67" t="n"/>
      <c r="AE149" s="84">
        <f>IFERROR(AVERAGE($Z149,$AA149,$AB149,$AC149,$AD149),"")</f>
        <v/>
      </c>
      <c r="AF149" s="84">
        <f>IFERROR($F149*$AE149,"")</f>
        <v/>
      </c>
      <c r="AG149" s="83" t="n"/>
      <c r="AH149" s="65" t="n"/>
    </row>
    <row r="150">
      <c r="B150" s="78" t="inlineStr">
        <is>
          <t>T. 147</t>
        </is>
      </c>
      <c r="C150" s="61">
        <f>IFERROR('01_Key Requirements &amp; Use Cases'!$C137,"")</f>
        <v/>
      </c>
      <c r="D150" s="62">
        <f>IFERROR('01_Key Requirements &amp; Use Cases'!$D137,"")</f>
        <v/>
      </c>
      <c r="E150" s="82" t="n"/>
      <c r="F150" s="30" t="n"/>
      <c r="G150" s="78" t="n"/>
      <c r="H150" s="79" t="n"/>
      <c r="I150" s="74" t="n"/>
      <c r="J150" s="74" t="n"/>
      <c r="K150" s="74" t="n"/>
      <c r="L150" s="74" t="n"/>
      <c r="M150" s="76">
        <f>IFERROR(AVERAGE($G150,$I150,$J150,$K150,$L150),"")</f>
        <v/>
      </c>
      <c r="N150" s="76">
        <f>IFERROR($F150*$M150,"")</f>
        <v/>
      </c>
      <c r="O150" s="83" t="n"/>
      <c r="P150" s="77" t="n"/>
      <c r="Q150" s="67" t="n"/>
      <c r="R150" s="67" t="n"/>
      <c r="S150" s="67" t="n"/>
      <c r="T150" s="67" t="n"/>
      <c r="U150" s="67" t="n"/>
      <c r="V150" s="84">
        <f>IFERROR(AVERAGE($Q150,$R150,$S150,$T150,$U150),"")</f>
        <v/>
      </c>
      <c r="W150" s="122" t="n"/>
      <c r="X150" s="83" t="n"/>
      <c r="Y150" s="65" t="n"/>
      <c r="Z150" s="67" t="n"/>
      <c r="AA150" s="67" t="n"/>
      <c r="AB150" s="67" t="n"/>
      <c r="AC150" s="67" t="n"/>
      <c r="AD150" s="67" t="n"/>
      <c r="AE150" s="84">
        <f>IFERROR(AVERAGE($Z150,$AA150,$AB150,$AC150,$AD150),"")</f>
        <v/>
      </c>
      <c r="AF150" s="84">
        <f>IFERROR($F150*$AE150,"")</f>
        <v/>
      </c>
      <c r="AG150" s="83" t="n"/>
      <c r="AH150" s="65" t="n"/>
    </row>
    <row r="151">
      <c r="B151" s="78" t="inlineStr">
        <is>
          <t>T. 148</t>
        </is>
      </c>
      <c r="C151" s="61">
        <f>IFERROR('01_Key Requirements &amp; Use Cases'!$C138,"")</f>
        <v/>
      </c>
      <c r="D151" s="62">
        <f>IFERROR('01_Key Requirements &amp; Use Cases'!$D138,"")</f>
        <v/>
      </c>
      <c r="E151" s="82" t="n"/>
      <c r="F151" s="30" t="n"/>
      <c r="G151" s="78" t="n"/>
      <c r="H151" s="79" t="n"/>
      <c r="I151" s="74" t="n"/>
      <c r="J151" s="74" t="n"/>
      <c r="K151" s="74" t="n"/>
      <c r="L151" s="74" t="n"/>
      <c r="M151" s="76">
        <f>IFERROR(AVERAGE($G151,$I151,$J151,$K151,$L151),"")</f>
        <v/>
      </c>
      <c r="N151" s="76">
        <f>IFERROR($F151*$M151,"")</f>
        <v/>
      </c>
      <c r="O151" s="83" t="n"/>
      <c r="P151" s="77" t="n"/>
      <c r="Q151" s="67" t="n"/>
      <c r="R151" s="67" t="n"/>
      <c r="S151" s="67" t="n"/>
      <c r="T151" s="67" t="n"/>
      <c r="U151" s="67" t="n"/>
      <c r="V151" s="84">
        <f>IFERROR(AVERAGE($Q151,$R151,$S151,$T151,$U151),"")</f>
        <v/>
      </c>
      <c r="W151" s="122" t="n"/>
      <c r="X151" s="83" t="n"/>
      <c r="Y151" s="65" t="n"/>
      <c r="Z151" s="67" t="n"/>
      <c r="AA151" s="67" t="n"/>
      <c r="AB151" s="67" t="n"/>
      <c r="AC151" s="67" t="n"/>
      <c r="AD151" s="67" t="n"/>
      <c r="AE151" s="84">
        <f>IFERROR(AVERAGE($Z151,$AA151,$AB151,$AC151,$AD151),"")</f>
        <v/>
      </c>
      <c r="AF151" s="84">
        <f>IFERROR($F151*$AE151,"")</f>
        <v/>
      </c>
      <c r="AG151" s="83" t="n"/>
      <c r="AH151" s="65" t="n"/>
    </row>
    <row r="152">
      <c r="B152" s="78" t="inlineStr">
        <is>
          <t>T. 149</t>
        </is>
      </c>
      <c r="C152" s="61">
        <f>IFERROR('01_Key Requirements &amp; Use Cases'!$C139,"")</f>
        <v/>
      </c>
      <c r="D152" s="62">
        <f>IFERROR('01_Key Requirements &amp; Use Cases'!$D139,"")</f>
        <v/>
      </c>
      <c r="E152" s="82" t="n"/>
      <c r="F152" s="30" t="n"/>
      <c r="G152" s="78" t="n"/>
      <c r="H152" s="79" t="n"/>
      <c r="I152" s="74" t="n"/>
      <c r="J152" s="74" t="n"/>
      <c r="K152" s="74" t="n"/>
      <c r="L152" s="74" t="n"/>
      <c r="M152" s="76">
        <f>IFERROR(AVERAGE($G152,$I152,$J152,$K152,$L152),"")</f>
        <v/>
      </c>
      <c r="N152" s="76">
        <f>IFERROR($F152*$M152,"")</f>
        <v/>
      </c>
      <c r="O152" s="83" t="n"/>
      <c r="P152" s="77" t="n"/>
      <c r="Q152" s="67" t="n"/>
      <c r="R152" s="67" t="n"/>
      <c r="S152" s="67" t="n"/>
      <c r="T152" s="67" t="n"/>
      <c r="U152" s="67" t="n"/>
      <c r="V152" s="84">
        <f>IFERROR(AVERAGE($Q152,$R152,$S152,$T152,$U152),"")</f>
        <v/>
      </c>
      <c r="W152" s="122" t="n"/>
      <c r="X152" s="83" t="n"/>
      <c r="Y152" s="65" t="n"/>
      <c r="Z152" s="67" t="n"/>
      <c r="AA152" s="67" t="n"/>
      <c r="AB152" s="67" t="n"/>
      <c r="AC152" s="67" t="n"/>
      <c r="AD152" s="67" t="n"/>
      <c r="AE152" s="84">
        <f>IFERROR(AVERAGE($Z152,$AA152,$AB152,$AC152,$AD152),"")</f>
        <v/>
      </c>
      <c r="AF152" s="84">
        <f>IFERROR($F152*$AE152,"")</f>
        <v/>
      </c>
      <c r="AG152" s="83" t="n"/>
      <c r="AH152" s="65" t="n"/>
    </row>
    <row r="153">
      <c r="B153" s="78" t="inlineStr">
        <is>
          <t>T. 150</t>
        </is>
      </c>
      <c r="C153" s="61">
        <f>IFERROR('01_Key Requirements &amp; Use Cases'!$C140,"")</f>
        <v/>
      </c>
      <c r="D153" s="62">
        <f>IFERROR('01_Key Requirements &amp; Use Cases'!$D140,"")</f>
        <v/>
      </c>
      <c r="E153" s="82" t="n"/>
      <c r="F153" s="30" t="n"/>
      <c r="G153" s="78" t="n"/>
      <c r="H153" s="79" t="n"/>
      <c r="I153" s="74" t="n"/>
      <c r="J153" s="74" t="n"/>
      <c r="K153" s="74" t="n"/>
      <c r="L153" s="74" t="n"/>
      <c r="M153" s="76">
        <f>IFERROR(AVERAGE($G153,$I153,$J153,$K153,$L153),"")</f>
        <v/>
      </c>
      <c r="N153" s="76">
        <f>IFERROR($F153*$M153,"")</f>
        <v/>
      </c>
      <c r="O153" s="83" t="n"/>
      <c r="P153" s="77" t="n"/>
      <c r="Q153" s="67" t="n"/>
      <c r="R153" s="67" t="n"/>
      <c r="S153" s="67" t="n"/>
      <c r="T153" s="67" t="n"/>
      <c r="U153" s="67" t="n"/>
      <c r="V153" s="84">
        <f>IFERROR(AVERAGE($Q153,$R153,$S153,$T153,$U153),"")</f>
        <v/>
      </c>
      <c r="W153" s="122" t="n"/>
      <c r="X153" s="83" t="n"/>
      <c r="Y153" s="65" t="n"/>
      <c r="Z153" s="67" t="n"/>
      <c r="AA153" s="67" t="n"/>
      <c r="AB153" s="67" t="n"/>
      <c r="AC153" s="67" t="n"/>
      <c r="AD153" s="67" t="n"/>
      <c r="AE153" s="84">
        <f>IFERROR(AVERAGE($Z153,$AA153,$AB153,$AC153,$AD153),"")</f>
        <v/>
      </c>
      <c r="AF153" s="84">
        <f>IFERROR($F153*$AE153,"")</f>
        <v/>
      </c>
      <c r="AG153" s="83" t="n"/>
      <c r="AH153" s="65" t="n"/>
    </row>
    <row r="154">
      <c r="B154" s="78" t="inlineStr">
        <is>
          <t>T. 151</t>
        </is>
      </c>
      <c r="C154" s="61">
        <f>IFERROR('01_Key Requirements &amp; Use Cases'!$C141,"")</f>
        <v/>
      </c>
      <c r="D154" s="62">
        <f>IFERROR('01_Key Requirements &amp; Use Cases'!$D141,"")</f>
        <v/>
      </c>
      <c r="E154" s="82" t="n"/>
      <c r="F154" s="30" t="n"/>
      <c r="G154" s="78" t="n"/>
      <c r="H154" s="79" t="n"/>
      <c r="I154" s="74" t="n"/>
      <c r="J154" s="74" t="n"/>
      <c r="K154" s="74" t="n"/>
      <c r="L154" s="74" t="n"/>
      <c r="M154" s="76">
        <f>IFERROR(AVERAGE($G154,$I154,$J154,$K154,$L154),"")</f>
        <v/>
      </c>
      <c r="N154" s="76">
        <f>IFERROR($F154*$M154,"")</f>
        <v/>
      </c>
      <c r="O154" s="83" t="n"/>
      <c r="P154" s="77" t="n"/>
      <c r="Q154" s="67" t="n"/>
      <c r="R154" s="67" t="n"/>
      <c r="S154" s="67" t="n"/>
      <c r="T154" s="67" t="n"/>
      <c r="U154" s="67" t="n"/>
      <c r="V154" s="84">
        <f>IFERROR(AVERAGE($Q154,$R154,$S154,$T154,$U154),"")</f>
        <v/>
      </c>
      <c r="W154" s="122" t="n"/>
      <c r="X154" s="83" t="n"/>
      <c r="Y154" s="65" t="n"/>
      <c r="Z154" s="67" t="n"/>
      <c r="AA154" s="67" t="n"/>
      <c r="AB154" s="67" t="n"/>
      <c r="AC154" s="67" t="n"/>
      <c r="AD154" s="67" t="n"/>
      <c r="AE154" s="84">
        <f>IFERROR(AVERAGE($Z154,$AA154,$AB154,$AC154,$AD154),"")</f>
        <v/>
      </c>
      <c r="AF154" s="84">
        <f>IFERROR($F154*$AE154,"")</f>
        <v/>
      </c>
      <c r="AG154" s="83" t="n"/>
      <c r="AH154" s="65" t="n"/>
    </row>
    <row r="155">
      <c r="B155" s="78" t="inlineStr">
        <is>
          <t>T. 152</t>
        </is>
      </c>
      <c r="C155" s="61">
        <f>IFERROR('01_Key Requirements &amp; Use Cases'!$C142,"")</f>
        <v/>
      </c>
      <c r="D155" s="62">
        <f>IFERROR('01_Key Requirements &amp; Use Cases'!$D142,"")</f>
        <v/>
      </c>
      <c r="E155" s="82" t="n"/>
      <c r="F155" s="30" t="n"/>
      <c r="G155" s="78" t="n"/>
      <c r="H155" s="79" t="n"/>
      <c r="I155" s="74" t="n"/>
      <c r="J155" s="74" t="n"/>
      <c r="K155" s="74" t="n"/>
      <c r="L155" s="74" t="n"/>
      <c r="M155" s="76">
        <f>IFERROR(AVERAGE($G155,$I155,$J155,$K155,$L155),"")</f>
        <v/>
      </c>
      <c r="N155" s="76">
        <f>IFERROR($F155*$M155,"")</f>
        <v/>
      </c>
      <c r="O155" s="83" t="n"/>
      <c r="P155" s="77" t="n"/>
      <c r="Q155" s="67" t="n"/>
      <c r="R155" s="67" t="n"/>
      <c r="S155" s="67" t="n"/>
      <c r="T155" s="67" t="n"/>
      <c r="U155" s="67" t="n"/>
      <c r="V155" s="84">
        <f>IFERROR(AVERAGE($Q155,$R155,$S155,$T155,$U155),"")</f>
        <v/>
      </c>
      <c r="W155" s="122" t="n"/>
      <c r="X155" s="83" t="n"/>
      <c r="Y155" s="65" t="n"/>
      <c r="Z155" s="67" t="n"/>
      <c r="AA155" s="67" t="n"/>
      <c r="AB155" s="67" t="n"/>
      <c r="AC155" s="67" t="n"/>
      <c r="AD155" s="67" t="n"/>
      <c r="AE155" s="84">
        <f>IFERROR(AVERAGE($Z155,$AA155,$AB155,$AC155,$AD155),"")</f>
        <v/>
      </c>
      <c r="AF155" s="84">
        <f>IFERROR($F155*$AE155,"")</f>
        <v/>
      </c>
      <c r="AG155" s="83" t="n"/>
      <c r="AH155" s="65" t="n"/>
    </row>
    <row r="156">
      <c r="B156" s="78" t="inlineStr">
        <is>
          <t>T. 153</t>
        </is>
      </c>
      <c r="C156" s="61">
        <f>IFERROR('01_Key Requirements &amp; Use Cases'!$C143,"")</f>
        <v/>
      </c>
      <c r="D156" s="62">
        <f>IFERROR('01_Key Requirements &amp; Use Cases'!$D143,"")</f>
        <v/>
      </c>
      <c r="E156" s="82" t="n"/>
      <c r="F156" s="30" t="n"/>
      <c r="G156" s="78" t="n"/>
      <c r="H156" s="79" t="n"/>
      <c r="I156" s="74" t="n"/>
      <c r="J156" s="74" t="n"/>
      <c r="K156" s="74" t="n"/>
      <c r="L156" s="74" t="n"/>
      <c r="M156" s="76">
        <f>IFERROR(AVERAGE($G156,$I156,$J156,$K156,$L156),"")</f>
        <v/>
      </c>
      <c r="N156" s="76">
        <f>IFERROR($F156*$M156,"")</f>
        <v/>
      </c>
      <c r="O156" s="83" t="n"/>
      <c r="P156" s="77" t="n"/>
      <c r="Q156" s="67" t="n"/>
      <c r="R156" s="67" t="n"/>
      <c r="S156" s="67" t="n"/>
      <c r="T156" s="67" t="n"/>
      <c r="U156" s="67" t="n"/>
      <c r="V156" s="84">
        <f>IFERROR(AVERAGE($Q156,$R156,$S156,$T156,$U156),"")</f>
        <v/>
      </c>
      <c r="W156" s="122" t="n"/>
      <c r="X156" s="83" t="n"/>
      <c r="Y156" s="65" t="n"/>
      <c r="Z156" s="67" t="n"/>
      <c r="AA156" s="67" t="n"/>
      <c r="AB156" s="67" t="n"/>
      <c r="AC156" s="67" t="n"/>
      <c r="AD156" s="67" t="n"/>
      <c r="AE156" s="84">
        <f>IFERROR(AVERAGE($Z156,$AA156,$AB156,$AC156,$AD156),"")</f>
        <v/>
      </c>
      <c r="AF156" s="84">
        <f>IFERROR($F156*$AE156,"")</f>
        <v/>
      </c>
      <c r="AG156" s="83" t="n"/>
      <c r="AH156" s="65" t="n"/>
    </row>
    <row r="157">
      <c r="B157" s="78" t="inlineStr">
        <is>
          <t>T. 154</t>
        </is>
      </c>
      <c r="C157" s="61">
        <f>IFERROR('01_Key Requirements &amp; Use Cases'!$C144,"")</f>
        <v/>
      </c>
      <c r="D157" s="62">
        <f>IFERROR('01_Key Requirements &amp; Use Cases'!$D144,"")</f>
        <v/>
      </c>
      <c r="E157" s="82" t="n"/>
      <c r="F157" s="30" t="n"/>
      <c r="G157" s="78" t="n"/>
      <c r="H157" s="79" t="n"/>
      <c r="I157" s="74" t="n"/>
      <c r="J157" s="74" t="n"/>
      <c r="K157" s="74" t="n"/>
      <c r="L157" s="74" t="n"/>
      <c r="M157" s="76">
        <f>IFERROR(AVERAGE($G157,$I157,$J157,$K157,$L157),"")</f>
        <v/>
      </c>
      <c r="N157" s="76">
        <f>IFERROR($F157*$M157,"")</f>
        <v/>
      </c>
      <c r="O157" s="83" t="n"/>
      <c r="P157" s="77" t="n"/>
      <c r="Q157" s="67" t="n"/>
      <c r="R157" s="67" t="n"/>
      <c r="S157" s="67" t="n"/>
      <c r="T157" s="67" t="n"/>
      <c r="U157" s="67" t="n"/>
      <c r="V157" s="84">
        <f>IFERROR(AVERAGE($Q157,$R157,$S157,$T157,$U157),"")</f>
        <v/>
      </c>
      <c r="W157" s="122" t="n"/>
      <c r="X157" s="83" t="n"/>
      <c r="Y157" s="65" t="n"/>
      <c r="Z157" s="67" t="n"/>
      <c r="AA157" s="67" t="n"/>
      <c r="AB157" s="67" t="n"/>
      <c r="AC157" s="67" t="n"/>
      <c r="AD157" s="67" t="n"/>
      <c r="AE157" s="84">
        <f>IFERROR(AVERAGE($Z157,$AA157,$AB157,$AC157,$AD157),"")</f>
        <v/>
      </c>
      <c r="AF157" s="84">
        <f>IFERROR($F157*$AE157,"")</f>
        <v/>
      </c>
      <c r="AG157" s="83" t="n"/>
      <c r="AH157" s="65" t="n"/>
    </row>
    <row r="158">
      <c r="B158" s="78" t="inlineStr">
        <is>
          <t>T. 155</t>
        </is>
      </c>
      <c r="C158" s="61">
        <f>IFERROR('01_Key Requirements &amp; Use Cases'!$C145,"")</f>
        <v/>
      </c>
      <c r="D158" s="62">
        <f>IFERROR('01_Key Requirements &amp; Use Cases'!$D145,"")</f>
        <v/>
      </c>
      <c r="E158" s="82" t="n"/>
      <c r="F158" s="30" t="n"/>
      <c r="G158" s="78" t="n"/>
      <c r="H158" s="79" t="n"/>
      <c r="I158" s="74" t="n"/>
      <c r="J158" s="74" t="n"/>
      <c r="K158" s="74" t="n"/>
      <c r="L158" s="74" t="n"/>
      <c r="M158" s="76">
        <f>IFERROR(AVERAGE($G158,$I158,$J158,$K158,$L158),"")</f>
        <v/>
      </c>
      <c r="N158" s="76">
        <f>IFERROR($F158*$M158,"")</f>
        <v/>
      </c>
      <c r="O158" s="83" t="n"/>
      <c r="P158" s="77" t="n"/>
      <c r="Q158" s="67" t="n"/>
      <c r="R158" s="67" t="n"/>
      <c r="S158" s="67" t="n"/>
      <c r="T158" s="67" t="n"/>
      <c r="U158" s="67" t="n"/>
      <c r="V158" s="84">
        <f>IFERROR(AVERAGE($Q158,$R158,$S158,$T158,$U158),"")</f>
        <v/>
      </c>
      <c r="W158" s="122" t="n"/>
      <c r="X158" s="83" t="n"/>
      <c r="Y158" s="65" t="n"/>
      <c r="Z158" s="67" t="n"/>
      <c r="AA158" s="67" t="n"/>
      <c r="AB158" s="67" t="n"/>
      <c r="AC158" s="67" t="n"/>
      <c r="AD158" s="67" t="n"/>
      <c r="AE158" s="84">
        <f>IFERROR(AVERAGE($Z158,$AA158,$AB158,$AC158,$AD158),"")</f>
        <v/>
      </c>
      <c r="AF158" s="84">
        <f>IFERROR($F158*$AE158,"")</f>
        <v/>
      </c>
      <c r="AG158" s="83" t="n"/>
      <c r="AH158" s="65" t="n"/>
    </row>
    <row r="159">
      <c r="B159" s="78" t="inlineStr">
        <is>
          <t>T. 156</t>
        </is>
      </c>
      <c r="C159" s="61">
        <f>IFERROR('01_Key Requirements &amp; Use Cases'!$C146,"")</f>
        <v/>
      </c>
      <c r="D159" s="62">
        <f>IFERROR('01_Key Requirements &amp; Use Cases'!$D146,"")</f>
        <v/>
      </c>
      <c r="E159" s="82" t="n"/>
      <c r="F159" s="30" t="n"/>
      <c r="G159" s="78" t="n"/>
      <c r="H159" s="79" t="n"/>
      <c r="I159" s="74" t="n"/>
      <c r="J159" s="74" t="n"/>
      <c r="K159" s="74" t="n"/>
      <c r="L159" s="74" t="n"/>
      <c r="M159" s="76">
        <f>IFERROR(AVERAGE($G159,$I159,$J159,$K159,$L159),"")</f>
        <v/>
      </c>
      <c r="N159" s="76">
        <f>IFERROR($F159*$M159,"")</f>
        <v/>
      </c>
      <c r="O159" s="83" t="n"/>
      <c r="P159" s="77" t="n"/>
      <c r="Q159" s="67" t="n"/>
      <c r="R159" s="67" t="n"/>
      <c r="S159" s="67" t="n"/>
      <c r="T159" s="67" t="n"/>
      <c r="U159" s="67" t="n"/>
      <c r="V159" s="84">
        <f>IFERROR(AVERAGE($Q159,$R159,$S159,$T159,$U159),"")</f>
        <v/>
      </c>
      <c r="W159" s="122" t="n"/>
      <c r="X159" s="83" t="n"/>
      <c r="Y159" s="65" t="n"/>
      <c r="Z159" s="67" t="n"/>
      <c r="AA159" s="67" t="n"/>
      <c r="AB159" s="67" t="n"/>
      <c r="AC159" s="67" t="n"/>
      <c r="AD159" s="67" t="n"/>
      <c r="AE159" s="84">
        <f>IFERROR(AVERAGE($Z159,$AA159,$AB159,$AC159,$AD159),"")</f>
        <v/>
      </c>
      <c r="AF159" s="84">
        <f>IFERROR($F159*$AE159,"")</f>
        <v/>
      </c>
      <c r="AG159" s="83" t="n"/>
      <c r="AH159" s="65" t="n"/>
    </row>
    <row r="160">
      <c r="B160" s="78" t="inlineStr">
        <is>
          <t>T. 157</t>
        </is>
      </c>
      <c r="C160" s="61">
        <f>IFERROR('01_Key Requirements &amp; Use Cases'!$C147,"")</f>
        <v/>
      </c>
      <c r="D160" s="62">
        <f>IFERROR('01_Key Requirements &amp; Use Cases'!$D147,"")</f>
        <v/>
      </c>
      <c r="E160" s="82" t="n"/>
      <c r="F160" s="30" t="n"/>
      <c r="G160" s="78" t="n"/>
      <c r="H160" s="79" t="n"/>
      <c r="I160" s="74" t="n"/>
      <c r="J160" s="74" t="n"/>
      <c r="K160" s="74" t="n"/>
      <c r="L160" s="74" t="n"/>
      <c r="M160" s="76">
        <f>IFERROR(AVERAGE($G160,$I160,$J160,$K160,$L160),"")</f>
        <v/>
      </c>
      <c r="N160" s="76">
        <f>IFERROR($F160*$M160,"")</f>
        <v/>
      </c>
      <c r="O160" s="83" t="n"/>
      <c r="P160" s="77" t="n"/>
      <c r="Q160" s="67" t="n"/>
      <c r="R160" s="67" t="n"/>
      <c r="S160" s="67" t="n"/>
      <c r="T160" s="67" t="n"/>
      <c r="U160" s="67" t="n"/>
      <c r="V160" s="84">
        <f>IFERROR(AVERAGE($Q160,$R160,$S160,$T160,$U160),"")</f>
        <v/>
      </c>
      <c r="W160" s="122" t="n"/>
      <c r="X160" s="83" t="n"/>
      <c r="Y160" s="65" t="n"/>
      <c r="Z160" s="67" t="n"/>
      <c r="AA160" s="67" t="n"/>
      <c r="AB160" s="67" t="n"/>
      <c r="AC160" s="67" t="n"/>
      <c r="AD160" s="67" t="n"/>
      <c r="AE160" s="84">
        <f>IFERROR(AVERAGE($Z160,$AA160,$AB160,$AC160,$AD160),"")</f>
        <v/>
      </c>
      <c r="AF160" s="84">
        <f>IFERROR($F160*$AE160,"")</f>
        <v/>
      </c>
      <c r="AG160" s="83" t="n"/>
      <c r="AH160" s="65" t="n"/>
    </row>
    <row r="161">
      <c r="B161" s="78" t="inlineStr">
        <is>
          <t>T. 158</t>
        </is>
      </c>
      <c r="C161" s="61">
        <f>IFERROR('01_Key Requirements &amp; Use Cases'!$C148,"")</f>
        <v/>
      </c>
      <c r="D161" s="62">
        <f>IFERROR('01_Key Requirements &amp; Use Cases'!$D148,"")</f>
        <v/>
      </c>
      <c r="E161" s="82" t="n"/>
      <c r="F161" s="30" t="n"/>
      <c r="G161" s="78" t="n"/>
      <c r="H161" s="79" t="n"/>
      <c r="I161" s="74" t="n"/>
      <c r="J161" s="74" t="n"/>
      <c r="K161" s="74" t="n"/>
      <c r="L161" s="74" t="n"/>
      <c r="M161" s="76">
        <f>IFERROR(AVERAGE($G161,$I161,$J161,$K161,$L161),"")</f>
        <v/>
      </c>
      <c r="N161" s="76">
        <f>IFERROR($F161*$M161,"")</f>
        <v/>
      </c>
      <c r="O161" s="83" t="n"/>
      <c r="P161" s="77" t="n"/>
      <c r="Q161" s="67" t="n"/>
      <c r="R161" s="67" t="n"/>
      <c r="S161" s="67" t="n"/>
      <c r="T161" s="67" t="n"/>
      <c r="U161" s="67" t="n"/>
      <c r="V161" s="84">
        <f>IFERROR(AVERAGE($Q161,$R161,$S161,$T161,$U161),"")</f>
        <v/>
      </c>
      <c r="W161" s="122" t="n"/>
      <c r="X161" s="83" t="n"/>
      <c r="Y161" s="65" t="n"/>
      <c r="Z161" s="67" t="n"/>
      <c r="AA161" s="67" t="n"/>
      <c r="AB161" s="67" t="n"/>
      <c r="AC161" s="67" t="n"/>
      <c r="AD161" s="67" t="n"/>
      <c r="AE161" s="84">
        <f>IFERROR(AVERAGE($Z161,$AA161,$AB161,$AC161,$AD161),"")</f>
        <v/>
      </c>
      <c r="AF161" s="84">
        <f>IFERROR($F161*$AE161,"")</f>
        <v/>
      </c>
      <c r="AG161" s="83" t="n"/>
      <c r="AH161" s="65" t="n"/>
    </row>
    <row r="162">
      <c r="B162" s="78" t="inlineStr">
        <is>
          <t>T. 159</t>
        </is>
      </c>
      <c r="C162" s="61">
        <f>IFERROR('01_Key Requirements &amp; Use Cases'!$C149,"")</f>
        <v/>
      </c>
      <c r="D162" s="62">
        <f>IFERROR('01_Key Requirements &amp; Use Cases'!$D149,"")</f>
        <v/>
      </c>
      <c r="E162" s="82" t="n"/>
      <c r="F162" s="30" t="n"/>
      <c r="G162" s="78" t="n"/>
      <c r="H162" s="79" t="n"/>
      <c r="I162" s="74" t="n"/>
      <c r="J162" s="74" t="n"/>
      <c r="K162" s="74" t="n"/>
      <c r="L162" s="74" t="n"/>
      <c r="M162" s="76">
        <f>IFERROR(AVERAGE($G162,$I162,$J162,$K162,$L162),"")</f>
        <v/>
      </c>
      <c r="N162" s="76">
        <f>IFERROR($F162*$M162,"")</f>
        <v/>
      </c>
      <c r="O162" s="83" t="n"/>
      <c r="P162" s="77" t="n"/>
      <c r="Q162" s="67" t="n"/>
      <c r="R162" s="67" t="n"/>
      <c r="S162" s="67" t="n"/>
      <c r="T162" s="67" t="n"/>
      <c r="U162" s="67" t="n"/>
      <c r="V162" s="84">
        <f>IFERROR(AVERAGE($Q162,$R162,$S162,$T162,$U162),"")</f>
        <v/>
      </c>
      <c r="W162" s="122" t="n"/>
      <c r="X162" s="83" t="n"/>
      <c r="Y162" s="65" t="n"/>
      <c r="Z162" s="67" t="n"/>
      <c r="AA162" s="67" t="n"/>
      <c r="AB162" s="67" t="n"/>
      <c r="AC162" s="67" t="n"/>
      <c r="AD162" s="67" t="n"/>
      <c r="AE162" s="84">
        <f>IFERROR(AVERAGE($Z162,$AA162,$AB162,$AC162,$AD162),"")</f>
        <v/>
      </c>
      <c r="AF162" s="84">
        <f>IFERROR($F162*$AE162,"")</f>
        <v/>
      </c>
      <c r="AG162" s="83" t="n"/>
      <c r="AH162" s="65" t="n"/>
    </row>
    <row r="163">
      <c r="B163" s="78" t="inlineStr">
        <is>
          <t>T. 160</t>
        </is>
      </c>
      <c r="C163" s="61">
        <f>IFERROR('01_Key Requirements &amp; Use Cases'!$C150,"")</f>
        <v/>
      </c>
      <c r="D163" s="62">
        <f>IFERROR('01_Key Requirements &amp; Use Cases'!$D150,"")</f>
        <v/>
      </c>
      <c r="E163" s="82" t="n"/>
      <c r="F163" s="30" t="n"/>
      <c r="G163" s="78" t="n"/>
      <c r="H163" s="79" t="n"/>
      <c r="I163" s="74" t="n"/>
      <c r="J163" s="74" t="n"/>
      <c r="K163" s="74" t="n"/>
      <c r="L163" s="74" t="n"/>
      <c r="M163" s="76">
        <f>IFERROR(AVERAGE($G163,$I163,$J163,$K163,$L163),"")</f>
        <v/>
      </c>
      <c r="N163" s="76">
        <f>IFERROR($F163*$M163,"")</f>
        <v/>
      </c>
      <c r="O163" s="83" t="n"/>
      <c r="P163" s="77" t="n"/>
      <c r="Q163" s="67" t="n"/>
      <c r="R163" s="67" t="n"/>
      <c r="S163" s="67" t="n"/>
      <c r="T163" s="67" t="n"/>
      <c r="U163" s="67" t="n"/>
      <c r="V163" s="84">
        <f>IFERROR(AVERAGE($Q163,$R163,$S163,$T163,$U163),"")</f>
        <v/>
      </c>
      <c r="W163" s="122" t="n"/>
      <c r="X163" s="83" t="n"/>
      <c r="Y163" s="65" t="n"/>
      <c r="Z163" s="67" t="n"/>
      <c r="AA163" s="67" t="n"/>
      <c r="AB163" s="67" t="n"/>
      <c r="AC163" s="67" t="n"/>
      <c r="AD163" s="67" t="n"/>
      <c r="AE163" s="84">
        <f>IFERROR(AVERAGE($Z163,$AA163,$AB163,$AC163,$AD163),"")</f>
        <v/>
      </c>
      <c r="AF163" s="84">
        <f>IFERROR($F163*$AE163,"")</f>
        <v/>
      </c>
      <c r="AG163" s="83" t="n"/>
      <c r="AH163" s="65" t="n"/>
    </row>
    <row r="164">
      <c r="B164" s="78" t="inlineStr">
        <is>
          <t>T. 161</t>
        </is>
      </c>
      <c r="C164" s="61">
        <f>IFERROR('01_Key Requirements &amp; Use Cases'!$C151,"")</f>
        <v/>
      </c>
      <c r="D164" s="62">
        <f>IFERROR('01_Key Requirements &amp; Use Cases'!$D151,"")</f>
        <v/>
      </c>
      <c r="E164" s="82" t="n"/>
      <c r="F164" s="30" t="n"/>
      <c r="G164" s="78" t="n"/>
      <c r="H164" s="79" t="n"/>
      <c r="I164" s="74" t="n"/>
      <c r="J164" s="74" t="n"/>
      <c r="K164" s="74" t="n"/>
      <c r="L164" s="74" t="n"/>
      <c r="M164" s="76">
        <f>IFERROR(AVERAGE($G164,$I164,$J164,$K164,$L164),"")</f>
        <v/>
      </c>
      <c r="N164" s="76">
        <f>IFERROR($F164*$M164,"")</f>
        <v/>
      </c>
      <c r="O164" s="83" t="n"/>
      <c r="P164" s="77" t="n"/>
      <c r="Q164" s="67" t="n"/>
      <c r="R164" s="67" t="n"/>
      <c r="S164" s="67" t="n"/>
      <c r="T164" s="67" t="n"/>
      <c r="U164" s="67" t="n"/>
      <c r="V164" s="84">
        <f>IFERROR(AVERAGE($Q164,$R164,$S164,$T164,$U164),"")</f>
        <v/>
      </c>
      <c r="W164" s="122" t="n"/>
      <c r="X164" s="83" t="n"/>
      <c r="Y164" s="65" t="n"/>
      <c r="Z164" s="67" t="n"/>
      <c r="AA164" s="67" t="n"/>
      <c r="AB164" s="67" t="n"/>
      <c r="AC164" s="67" t="n"/>
      <c r="AD164" s="67" t="n"/>
      <c r="AE164" s="84">
        <f>IFERROR(AVERAGE($Z164,$AA164,$AB164,$AC164,$AD164),"")</f>
        <v/>
      </c>
      <c r="AF164" s="84">
        <f>IFERROR($F164*$AE164,"")</f>
        <v/>
      </c>
      <c r="AG164" s="83" t="n"/>
      <c r="AH164" s="65" t="n"/>
    </row>
    <row r="165">
      <c r="B165" s="78" t="inlineStr">
        <is>
          <t>T. 162</t>
        </is>
      </c>
      <c r="C165" s="61">
        <f>IFERROR('01_Key Requirements &amp; Use Cases'!$C152,"")</f>
        <v/>
      </c>
      <c r="D165" s="62">
        <f>IFERROR('01_Key Requirements &amp; Use Cases'!$D152,"")</f>
        <v/>
      </c>
      <c r="E165" s="82" t="n"/>
      <c r="F165" s="30" t="n"/>
      <c r="G165" s="78" t="n"/>
      <c r="H165" s="79" t="n"/>
      <c r="I165" s="74" t="n"/>
      <c r="J165" s="74" t="n"/>
      <c r="K165" s="74" t="n"/>
      <c r="L165" s="74" t="n"/>
      <c r="M165" s="76">
        <f>IFERROR(AVERAGE($G165,$I165,$J165,$K165,$L165),"")</f>
        <v/>
      </c>
      <c r="N165" s="76">
        <f>IFERROR($F165*$M165,"")</f>
        <v/>
      </c>
      <c r="O165" s="83" t="n"/>
      <c r="P165" s="77" t="n"/>
      <c r="Q165" s="67" t="n"/>
      <c r="R165" s="67" t="n"/>
      <c r="S165" s="67" t="n"/>
      <c r="T165" s="67" t="n"/>
      <c r="U165" s="67" t="n"/>
      <c r="V165" s="84">
        <f>IFERROR(AVERAGE($Q165,$R165,$S165,$T165,$U165),"")</f>
        <v/>
      </c>
      <c r="W165" s="122" t="n"/>
      <c r="X165" s="83" t="n"/>
      <c r="Y165" s="65" t="n"/>
      <c r="Z165" s="67" t="n"/>
      <c r="AA165" s="67" t="n"/>
      <c r="AB165" s="67" t="n"/>
      <c r="AC165" s="67" t="n"/>
      <c r="AD165" s="67" t="n"/>
      <c r="AE165" s="84">
        <f>IFERROR(AVERAGE($Z165,$AA165,$AB165,$AC165,$AD165),"")</f>
        <v/>
      </c>
      <c r="AF165" s="84">
        <f>IFERROR($F165*$AE165,"")</f>
        <v/>
      </c>
      <c r="AG165" s="83" t="n"/>
      <c r="AH165" s="65" t="n"/>
    </row>
    <row r="166">
      <c r="B166" s="78" t="inlineStr">
        <is>
          <t>T. 163</t>
        </is>
      </c>
      <c r="C166" s="61">
        <f>IFERROR('01_Key Requirements &amp; Use Cases'!$C153,"")</f>
        <v/>
      </c>
      <c r="D166" s="62">
        <f>IFERROR('01_Key Requirements &amp; Use Cases'!$D153,"")</f>
        <v/>
      </c>
      <c r="E166" s="82" t="n"/>
      <c r="F166" s="30" t="n"/>
      <c r="G166" s="78" t="n"/>
      <c r="H166" s="79" t="n"/>
      <c r="I166" s="74" t="n"/>
      <c r="J166" s="74" t="n"/>
      <c r="K166" s="74" t="n"/>
      <c r="L166" s="74" t="n"/>
      <c r="M166" s="76">
        <f>IFERROR(AVERAGE($G166,$I166,$J166,$K166,$L166),"")</f>
        <v/>
      </c>
      <c r="N166" s="76">
        <f>IFERROR($F166*$M166,"")</f>
        <v/>
      </c>
      <c r="O166" s="83" t="n"/>
      <c r="P166" s="77" t="n"/>
      <c r="Q166" s="67" t="n"/>
      <c r="R166" s="67" t="n"/>
      <c r="S166" s="67" t="n"/>
      <c r="T166" s="67" t="n"/>
      <c r="U166" s="67" t="n"/>
      <c r="V166" s="84">
        <f>IFERROR(AVERAGE($Q166,$R166,$S166,$T166,$U166),"")</f>
        <v/>
      </c>
      <c r="W166" s="122" t="n"/>
      <c r="X166" s="83" t="n"/>
      <c r="Y166" s="65" t="n"/>
      <c r="Z166" s="67" t="n"/>
      <c r="AA166" s="67" t="n"/>
      <c r="AB166" s="67" t="n"/>
      <c r="AC166" s="67" t="n"/>
      <c r="AD166" s="67" t="n"/>
      <c r="AE166" s="84">
        <f>IFERROR(AVERAGE($Z166,$AA166,$AB166,$AC166,$AD166),"")</f>
        <v/>
      </c>
      <c r="AF166" s="84">
        <f>IFERROR($F166*$AE166,"")</f>
        <v/>
      </c>
      <c r="AG166" s="83" t="n"/>
      <c r="AH166" s="65" t="n"/>
    </row>
    <row r="167">
      <c r="B167" s="78" t="inlineStr">
        <is>
          <t>T. 164</t>
        </is>
      </c>
      <c r="C167" s="61">
        <f>IFERROR('01_Key Requirements &amp; Use Cases'!$C154,"")</f>
        <v/>
      </c>
      <c r="D167" s="62">
        <f>IFERROR('01_Key Requirements &amp; Use Cases'!$D154,"")</f>
        <v/>
      </c>
      <c r="E167" s="82" t="n"/>
      <c r="F167" s="30" t="n"/>
      <c r="G167" s="78" t="n"/>
      <c r="H167" s="79" t="n"/>
      <c r="I167" s="74" t="n"/>
      <c r="J167" s="74" t="n"/>
      <c r="K167" s="74" t="n"/>
      <c r="L167" s="74" t="n"/>
      <c r="M167" s="76">
        <f>IFERROR(AVERAGE($G167,$I167,$J167,$K167,$L167),"")</f>
        <v/>
      </c>
      <c r="N167" s="76">
        <f>IFERROR($F167*$M167,"")</f>
        <v/>
      </c>
      <c r="O167" s="83" t="n"/>
      <c r="P167" s="77" t="n"/>
      <c r="Q167" s="67" t="n"/>
      <c r="R167" s="67" t="n"/>
      <c r="S167" s="67" t="n"/>
      <c r="T167" s="67" t="n"/>
      <c r="U167" s="67" t="n"/>
      <c r="V167" s="84">
        <f>IFERROR(AVERAGE($Q167,$R167,$S167,$T167,$U167),"")</f>
        <v/>
      </c>
      <c r="W167" s="122" t="n"/>
      <c r="X167" s="83" t="n"/>
      <c r="Y167" s="65" t="n"/>
      <c r="Z167" s="67" t="n"/>
      <c r="AA167" s="67" t="n"/>
      <c r="AB167" s="67" t="n"/>
      <c r="AC167" s="67" t="n"/>
      <c r="AD167" s="67" t="n"/>
      <c r="AE167" s="84">
        <f>IFERROR(AVERAGE($Z167,$AA167,$AB167,$AC167,$AD167),"")</f>
        <v/>
      </c>
      <c r="AF167" s="84">
        <f>IFERROR($F167*$AE167,"")</f>
        <v/>
      </c>
      <c r="AG167" s="83" t="n"/>
      <c r="AH167" s="65" t="n"/>
    </row>
    <row r="168">
      <c r="B168" s="78" t="inlineStr">
        <is>
          <t>T. 165</t>
        </is>
      </c>
      <c r="C168" s="61">
        <f>IFERROR('01_Key Requirements &amp; Use Cases'!$C155,"")</f>
        <v/>
      </c>
      <c r="D168" s="62">
        <f>IFERROR('01_Key Requirements &amp; Use Cases'!$D155,"")</f>
        <v/>
      </c>
      <c r="E168" s="82" t="n"/>
      <c r="F168" s="30" t="n"/>
      <c r="G168" s="78" t="n"/>
      <c r="H168" s="79" t="n"/>
      <c r="I168" s="74" t="n"/>
      <c r="J168" s="74" t="n"/>
      <c r="K168" s="74" t="n"/>
      <c r="L168" s="74" t="n"/>
      <c r="M168" s="76">
        <f>IFERROR(AVERAGE($G168,$I168,$J168,$K168,$L168),"")</f>
        <v/>
      </c>
      <c r="N168" s="76">
        <f>IFERROR($F168*$M168,"")</f>
        <v/>
      </c>
      <c r="O168" s="83" t="n"/>
      <c r="P168" s="77" t="n"/>
      <c r="Q168" s="67" t="n"/>
      <c r="R168" s="67" t="n"/>
      <c r="S168" s="67" t="n"/>
      <c r="T168" s="67" t="n"/>
      <c r="U168" s="67" t="n"/>
      <c r="V168" s="84">
        <f>IFERROR(AVERAGE($Q168,$R168,$S168,$T168,$U168),"")</f>
        <v/>
      </c>
      <c r="W168" s="122" t="n"/>
      <c r="X168" s="83" t="n"/>
      <c r="Y168" s="65" t="n"/>
      <c r="Z168" s="67" t="n"/>
      <c r="AA168" s="67" t="n"/>
      <c r="AB168" s="67" t="n"/>
      <c r="AC168" s="67" t="n"/>
      <c r="AD168" s="67" t="n"/>
      <c r="AE168" s="84">
        <f>IFERROR(AVERAGE($Z168,$AA168,$AB168,$AC168,$AD168),"")</f>
        <v/>
      </c>
      <c r="AF168" s="84">
        <f>IFERROR($F168*$AE168,"")</f>
        <v/>
      </c>
      <c r="AG168" s="83" t="n"/>
      <c r="AH168" s="65" t="n"/>
    </row>
    <row r="169">
      <c r="B169" s="78" t="inlineStr">
        <is>
          <t>T. 166</t>
        </is>
      </c>
      <c r="C169" s="61">
        <f>IFERROR('01_Key Requirements &amp; Use Cases'!$C156,"")</f>
        <v/>
      </c>
      <c r="D169" s="62">
        <f>IFERROR('01_Key Requirements &amp; Use Cases'!$D156,"")</f>
        <v/>
      </c>
      <c r="E169" s="82" t="n"/>
      <c r="F169" s="30" t="n"/>
      <c r="G169" s="78" t="n"/>
      <c r="H169" s="79" t="n"/>
      <c r="I169" s="74" t="n"/>
      <c r="J169" s="74" t="n"/>
      <c r="K169" s="74" t="n"/>
      <c r="L169" s="74" t="n"/>
      <c r="M169" s="76">
        <f>IFERROR(AVERAGE($G169,$I169,$J169,$K169,$L169),"")</f>
        <v/>
      </c>
      <c r="N169" s="76">
        <f>IFERROR($F169*$M169,"")</f>
        <v/>
      </c>
      <c r="O169" s="83" t="n"/>
      <c r="P169" s="77" t="n"/>
      <c r="Q169" s="67" t="n"/>
      <c r="R169" s="67" t="n"/>
      <c r="S169" s="67" t="n"/>
      <c r="T169" s="67" t="n"/>
      <c r="U169" s="67" t="n"/>
      <c r="V169" s="84">
        <f>IFERROR(AVERAGE($Q169,$R169,$S169,$T169,$U169),"")</f>
        <v/>
      </c>
      <c r="W169" s="122" t="n"/>
      <c r="X169" s="83" t="n"/>
      <c r="Y169" s="65" t="n"/>
      <c r="Z169" s="67" t="n"/>
      <c r="AA169" s="67" t="n"/>
      <c r="AB169" s="67" t="n"/>
      <c r="AC169" s="67" t="n"/>
      <c r="AD169" s="67" t="n"/>
      <c r="AE169" s="84">
        <f>IFERROR(AVERAGE($Z169,$AA169,$AB169,$AC169,$AD169),"")</f>
        <v/>
      </c>
      <c r="AF169" s="84">
        <f>IFERROR($F169*$AE169,"")</f>
        <v/>
      </c>
      <c r="AG169" s="83" t="n"/>
      <c r="AH169" s="65" t="n"/>
    </row>
    <row r="170">
      <c r="B170" s="78" t="inlineStr">
        <is>
          <t>T. 167</t>
        </is>
      </c>
      <c r="C170" s="61">
        <f>IFERROR('01_Key Requirements &amp; Use Cases'!$C157,"")</f>
        <v/>
      </c>
      <c r="D170" s="62">
        <f>IFERROR('01_Key Requirements &amp; Use Cases'!$D157,"")</f>
        <v/>
      </c>
      <c r="E170" s="82" t="n"/>
      <c r="F170" s="30" t="n"/>
      <c r="G170" s="78" t="n"/>
      <c r="H170" s="79" t="n"/>
      <c r="I170" s="74" t="n"/>
      <c r="J170" s="74" t="n"/>
      <c r="K170" s="74" t="n"/>
      <c r="L170" s="74" t="n"/>
      <c r="M170" s="76">
        <f>IFERROR(AVERAGE($G170,$I170,$J170,$K170,$L170),"")</f>
        <v/>
      </c>
      <c r="N170" s="76">
        <f>IFERROR($F170*$M170,"")</f>
        <v/>
      </c>
      <c r="O170" s="83" t="n"/>
      <c r="P170" s="77" t="n"/>
      <c r="Q170" s="67" t="n"/>
      <c r="R170" s="67" t="n"/>
      <c r="S170" s="67" t="n"/>
      <c r="T170" s="67" t="n"/>
      <c r="U170" s="67" t="n"/>
      <c r="V170" s="84">
        <f>IFERROR(AVERAGE($Q170,$R170,$S170,$T170,$U170),"")</f>
        <v/>
      </c>
      <c r="W170" s="122" t="n"/>
      <c r="X170" s="83" t="n"/>
      <c r="Y170" s="65" t="n"/>
      <c r="Z170" s="67" t="n"/>
      <c r="AA170" s="67" t="n"/>
      <c r="AB170" s="67" t="n"/>
      <c r="AC170" s="67" t="n"/>
      <c r="AD170" s="67" t="n"/>
      <c r="AE170" s="84">
        <f>IFERROR(AVERAGE($Z170,$AA170,$AB170,$AC170,$AD170),"")</f>
        <v/>
      </c>
      <c r="AF170" s="84">
        <f>IFERROR($F170*$AE170,"")</f>
        <v/>
      </c>
      <c r="AG170" s="83" t="n"/>
      <c r="AH170" s="65" t="n"/>
    </row>
    <row r="171">
      <c r="B171" s="78" t="inlineStr">
        <is>
          <t>T. 168</t>
        </is>
      </c>
      <c r="C171" s="61">
        <f>IFERROR('01_Key Requirements &amp; Use Cases'!$C158,"")</f>
        <v/>
      </c>
      <c r="D171" s="62">
        <f>IFERROR('01_Key Requirements &amp; Use Cases'!$D158,"")</f>
        <v/>
      </c>
      <c r="E171" s="82" t="n"/>
      <c r="F171" s="30" t="n"/>
      <c r="G171" s="78" t="n"/>
      <c r="H171" s="79" t="n"/>
      <c r="I171" s="74" t="n"/>
      <c r="J171" s="74" t="n"/>
      <c r="K171" s="74" t="n"/>
      <c r="L171" s="74" t="n"/>
      <c r="M171" s="76">
        <f>IFERROR(AVERAGE($G171,$I171,$J171,$K171,$L171),"")</f>
        <v/>
      </c>
      <c r="N171" s="76">
        <f>IFERROR($F171*$M171,"")</f>
        <v/>
      </c>
      <c r="O171" s="83" t="n"/>
      <c r="P171" s="77" t="n"/>
      <c r="Q171" s="67" t="n"/>
      <c r="R171" s="67" t="n"/>
      <c r="S171" s="67" t="n"/>
      <c r="T171" s="67" t="n"/>
      <c r="U171" s="67" t="n"/>
      <c r="V171" s="84">
        <f>IFERROR(AVERAGE($Q171,$R171,$S171,$T171,$U171),"")</f>
        <v/>
      </c>
      <c r="W171" s="122" t="n"/>
      <c r="X171" s="83" t="n"/>
      <c r="Y171" s="65" t="n"/>
      <c r="Z171" s="67" t="n"/>
      <c r="AA171" s="67" t="n"/>
      <c r="AB171" s="67" t="n"/>
      <c r="AC171" s="67" t="n"/>
      <c r="AD171" s="67" t="n"/>
      <c r="AE171" s="84">
        <f>IFERROR(AVERAGE($Z171,$AA171,$AB171,$AC171,$AD171),"")</f>
        <v/>
      </c>
      <c r="AF171" s="84">
        <f>IFERROR($F171*$AE171,"")</f>
        <v/>
      </c>
      <c r="AG171" s="83" t="n"/>
      <c r="AH171" s="65" t="n"/>
    </row>
    <row r="172">
      <c r="B172" s="78" t="inlineStr">
        <is>
          <t>T. 169</t>
        </is>
      </c>
      <c r="C172" s="61">
        <f>IFERROR('01_Key Requirements &amp; Use Cases'!$C159,"")</f>
        <v/>
      </c>
      <c r="D172" s="62">
        <f>IFERROR('01_Key Requirements &amp; Use Cases'!$D159,"")</f>
        <v/>
      </c>
      <c r="E172" s="82" t="n"/>
      <c r="F172" s="30" t="n"/>
      <c r="G172" s="78" t="n"/>
      <c r="H172" s="79" t="n"/>
      <c r="I172" s="74" t="n"/>
      <c r="J172" s="74" t="n"/>
      <c r="K172" s="74" t="n"/>
      <c r="L172" s="74" t="n"/>
      <c r="M172" s="76">
        <f>IFERROR(AVERAGE($G172,$I172,$J172,$K172,$L172),"")</f>
        <v/>
      </c>
      <c r="N172" s="76">
        <f>IFERROR($F172*$M172,"")</f>
        <v/>
      </c>
      <c r="O172" s="83" t="n"/>
      <c r="P172" s="77" t="n"/>
      <c r="Q172" s="67" t="n"/>
      <c r="R172" s="67" t="n"/>
      <c r="S172" s="67" t="n"/>
      <c r="T172" s="67" t="n"/>
      <c r="U172" s="67" t="n"/>
      <c r="V172" s="84">
        <f>IFERROR(AVERAGE($Q172,$R172,$S172,$T172,$U172),"")</f>
        <v/>
      </c>
      <c r="W172" s="122" t="n"/>
      <c r="X172" s="83" t="n"/>
      <c r="Y172" s="65" t="n"/>
      <c r="Z172" s="67" t="n"/>
      <c r="AA172" s="67" t="n"/>
      <c r="AB172" s="67" t="n"/>
      <c r="AC172" s="67" t="n"/>
      <c r="AD172" s="67" t="n"/>
      <c r="AE172" s="84">
        <f>IFERROR(AVERAGE($Z172,$AA172,$AB172,$AC172,$AD172),"")</f>
        <v/>
      </c>
      <c r="AF172" s="84">
        <f>IFERROR($F172*$AE172,"")</f>
        <v/>
      </c>
      <c r="AG172" s="83" t="n"/>
      <c r="AH172" s="65" t="n"/>
    </row>
    <row r="173">
      <c r="B173" s="78" t="inlineStr">
        <is>
          <t>T. 170</t>
        </is>
      </c>
      <c r="C173" s="61">
        <f>IFERROR('01_Key Requirements &amp; Use Cases'!$C160,"")</f>
        <v/>
      </c>
      <c r="D173" s="62">
        <f>IFERROR('01_Key Requirements &amp; Use Cases'!$D160,"")</f>
        <v/>
      </c>
      <c r="E173" s="82" t="n"/>
      <c r="F173" s="30" t="n"/>
      <c r="G173" s="78" t="n"/>
      <c r="H173" s="79" t="n"/>
      <c r="I173" s="74" t="n"/>
      <c r="J173" s="74" t="n"/>
      <c r="K173" s="74" t="n"/>
      <c r="L173" s="74" t="n"/>
      <c r="M173" s="76">
        <f>IFERROR(AVERAGE($G173,$I173,$J173,$K173,$L173),"")</f>
        <v/>
      </c>
      <c r="N173" s="76">
        <f>IFERROR($F173*$M173,"")</f>
        <v/>
      </c>
      <c r="O173" s="83" t="n"/>
      <c r="P173" s="77" t="n"/>
      <c r="Q173" s="67" t="n"/>
      <c r="R173" s="67" t="n"/>
      <c r="S173" s="67" t="n"/>
      <c r="T173" s="67" t="n"/>
      <c r="U173" s="67" t="n"/>
      <c r="V173" s="84">
        <f>IFERROR(AVERAGE($Q173,$R173,$S173,$T173,$U173),"")</f>
        <v/>
      </c>
      <c r="W173" s="122" t="n"/>
      <c r="X173" s="83" t="n"/>
      <c r="Y173" s="65" t="n"/>
      <c r="Z173" s="67" t="n"/>
      <c r="AA173" s="67" t="n"/>
      <c r="AB173" s="67" t="n"/>
      <c r="AC173" s="67" t="n"/>
      <c r="AD173" s="67" t="n"/>
      <c r="AE173" s="84">
        <f>IFERROR(AVERAGE($Z173,$AA173,$AB173,$AC173,$AD173),"")</f>
        <v/>
      </c>
      <c r="AF173" s="84">
        <f>IFERROR($F173*$AE173,"")</f>
        <v/>
      </c>
      <c r="AG173" s="83" t="n"/>
      <c r="AH173" s="65" t="n"/>
    </row>
    <row r="174">
      <c r="B174" s="78" t="inlineStr">
        <is>
          <t>T. 171</t>
        </is>
      </c>
      <c r="C174" s="61">
        <f>IFERROR('01_Key Requirements &amp; Use Cases'!$C161,"")</f>
        <v/>
      </c>
      <c r="D174" s="62">
        <f>IFERROR('01_Key Requirements &amp; Use Cases'!$D161,"")</f>
        <v/>
      </c>
      <c r="E174" s="82" t="n"/>
      <c r="F174" s="30" t="n"/>
      <c r="G174" s="78" t="n"/>
      <c r="H174" s="79" t="n"/>
      <c r="I174" s="74" t="n"/>
      <c r="J174" s="74" t="n"/>
      <c r="K174" s="74" t="n"/>
      <c r="L174" s="74" t="n"/>
      <c r="M174" s="76">
        <f>IFERROR(AVERAGE($G174,$I174,$J174,$K174,$L174),"")</f>
        <v/>
      </c>
      <c r="N174" s="76">
        <f>IFERROR($F174*$M174,"")</f>
        <v/>
      </c>
      <c r="O174" s="83" t="n"/>
      <c r="P174" s="77" t="n"/>
      <c r="Q174" s="67" t="n"/>
      <c r="R174" s="67" t="n"/>
      <c r="S174" s="67" t="n"/>
      <c r="T174" s="67" t="n"/>
      <c r="U174" s="67" t="n"/>
      <c r="V174" s="84">
        <f>IFERROR(AVERAGE($Q174,$R174,$S174,$T174,$U174),"")</f>
        <v/>
      </c>
      <c r="W174" s="122" t="n"/>
      <c r="X174" s="83" t="n"/>
      <c r="Y174" s="65" t="n"/>
      <c r="Z174" s="67" t="n"/>
      <c r="AA174" s="67" t="n"/>
      <c r="AB174" s="67" t="n"/>
      <c r="AC174" s="67" t="n"/>
      <c r="AD174" s="67" t="n"/>
      <c r="AE174" s="84">
        <f>IFERROR(AVERAGE($Z174,$AA174,$AB174,$AC174,$AD174),"")</f>
        <v/>
      </c>
      <c r="AF174" s="84">
        <f>IFERROR($F174*$AE174,"")</f>
        <v/>
      </c>
      <c r="AG174" s="83" t="n"/>
      <c r="AH174" s="65" t="n"/>
    </row>
    <row r="175">
      <c r="B175" s="78" t="inlineStr">
        <is>
          <t>T. 172</t>
        </is>
      </c>
      <c r="C175" s="61">
        <f>IFERROR('01_Key Requirements &amp; Use Cases'!$C162,"")</f>
        <v/>
      </c>
      <c r="D175" s="62">
        <f>IFERROR('01_Key Requirements &amp; Use Cases'!$D162,"")</f>
        <v/>
      </c>
      <c r="E175" s="82" t="n"/>
      <c r="F175" s="30" t="n"/>
      <c r="G175" s="78" t="n"/>
      <c r="H175" s="79" t="n"/>
      <c r="I175" s="74" t="n"/>
      <c r="J175" s="74" t="n"/>
      <c r="K175" s="74" t="n"/>
      <c r="L175" s="74" t="n"/>
      <c r="M175" s="76">
        <f>IFERROR(AVERAGE($G175,$I175,$J175,$K175,$L175),"")</f>
        <v/>
      </c>
      <c r="N175" s="76">
        <f>IFERROR($F175*$M175,"")</f>
        <v/>
      </c>
      <c r="O175" s="83" t="n"/>
      <c r="P175" s="77" t="n"/>
      <c r="Q175" s="67" t="n"/>
      <c r="R175" s="67" t="n"/>
      <c r="S175" s="67" t="n"/>
      <c r="T175" s="67" t="n"/>
      <c r="U175" s="67" t="n"/>
      <c r="V175" s="84">
        <f>IFERROR(AVERAGE($Q175,$R175,$S175,$T175,$U175),"")</f>
        <v/>
      </c>
      <c r="W175" s="122" t="n"/>
      <c r="X175" s="83" t="n"/>
      <c r="Y175" s="65" t="n"/>
      <c r="Z175" s="67" t="n"/>
      <c r="AA175" s="67" t="n"/>
      <c r="AB175" s="67" t="n"/>
      <c r="AC175" s="67" t="n"/>
      <c r="AD175" s="67" t="n"/>
      <c r="AE175" s="84">
        <f>IFERROR(AVERAGE($Z175,$AA175,$AB175,$AC175,$AD175),"")</f>
        <v/>
      </c>
      <c r="AF175" s="84">
        <f>IFERROR($F175*$AE175,"")</f>
        <v/>
      </c>
      <c r="AG175" s="83" t="n"/>
      <c r="AH175" s="65" t="n"/>
    </row>
    <row r="176">
      <c r="B176" s="78" t="inlineStr">
        <is>
          <t>T. 173</t>
        </is>
      </c>
      <c r="C176" s="61">
        <f>IFERROR('01_Key Requirements &amp; Use Cases'!$C163,"")</f>
        <v/>
      </c>
      <c r="D176" s="62">
        <f>IFERROR('01_Key Requirements &amp; Use Cases'!$D163,"")</f>
        <v/>
      </c>
      <c r="E176" s="82" t="n"/>
      <c r="F176" s="30" t="n"/>
      <c r="G176" s="78" t="n"/>
      <c r="H176" s="79" t="n"/>
      <c r="I176" s="74" t="n"/>
      <c r="J176" s="74" t="n"/>
      <c r="K176" s="74" t="n"/>
      <c r="L176" s="74" t="n"/>
      <c r="M176" s="76">
        <f>IFERROR(AVERAGE($G176,$I176,$J176,$K176,$L176),"")</f>
        <v/>
      </c>
      <c r="N176" s="76">
        <f>IFERROR($F176*$M176,"")</f>
        <v/>
      </c>
      <c r="O176" s="83" t="n"/>
      <c r="P176" s="77" t="n"/>
      <c r="Q176" s="67" t="n"/>
      <c r="R176" s="67" t="n"/>
      <c r="S176" s="67" t="n"/>
      <c r="T176" s="67" t="n"/>
      <c r="U176" s="67" t="n"/>
      <c r="V176" s="84">
        <f>IFERROR(AVERAGE($Q176,$R176,$S176,$T176,$U176),"")</f>
        <v/>
      </c>
      <c r="W176" s="122" t="n"/>
      <c r="X176" s="83" t="n"/>
      <c r="Y176" s="65" t="n"/>
      <c r="Z176" s="67" t="n"/>
      <c r="AA176" s="67" t="n"/>
      <c r="AB176" s="67" t="n"/>
      <c r="AC176" s="67" t="n"/>
      <c r="AD176" s="67" t="n"/>
      <c r="AE176" s="84">
        <f>IFERROR(AVERAGE($Z176,$AA176,$AB176,$AC176,$AD176),"")</f>
        <v/>
      </c>
      <c r="AF176" s="84">
        <f>IFERROR($F176*$AE176,"")</f>
        <v/>
      </c>
      <c r="AG176" s="83" t="n"/>
      <c r="AH176" s="65" t="n"/>
    </row>
    <row r="177">
      <c r="B177" s="78" t="inlineStr">
        <is>
          <t>T. 174</t>
        </is>
      </c>
      <c r="C177" s="61">
        <f>IFERROR('01_Key Requirements &amp; Use Cases'!$C164,"")</f>
        <v/>
      </c>
      <c r="D177" s="62">
        <f>IFERROR('01_Key Requirements &amp; Use Cases'!$D164,"")</f>
        <v/>
      </c>
      <c r="E177" s="82" t="n"/>
      <c r="F177" s="30" t="n"/>
      <c r="G177" s="78" t="n"/>
      <c r="H177" s="79" t="n"/>
      <c r="I177" s="74" t="n"/>
      <c r="J177" s="74" t="n"/>
      <c r="K177" s="74" t="n"/>
      <c r="L177" s="74" t="n"/>
      <c r="M177" s="76">
        <f>IFERROR(AVERAGE($G177,$I177,$J177,$K177,$L177),"")</f>
        <v/>
      </c>
      <c r="N177" s="76">
        <f>IFERROR($F177*$M177,"")</f>
        <v/>
      </c>
      <c r="O177" s="83" t="n"/>
      <c r="P177" s="77" t="n"/>
      <c r="Q177" s="67" t="n"/>
      <c r="R177" s="67" t="n"/>
      <c r="S177" s="67" t="n"/>
      <c r="T177" s="67" t="n"/>
      <c r="U177" s="67" t="n"/>
      <c r="V177" s="84">
        <f>IFERROR(AVERAGE($Q177,$R177,$S177,$T177,$U177),"")</f>
        <v/>
      </c>
      <c r="W177" s="122" t="n"/>
      <c r="X177" s="83" t="n"/>
      <c r="Y177" s="65" t="n"/>
      <c r="Z177" s="67" t="n"/>
      <c r="AA177" s="67" t="n"/>
      <c r="AB177" s="67" t="n"/>
      <c r="AC177" s="67" t="n"/>
      <c r="AD177" s="67" t="n"/>
      <c r="AE177" s="84">
        <f>IFERROR(AVERAGE($Z177,$AA177,$AB177,$AC177,$AD177),"")</f>
        <v/>
      </c>
      <c r="AF177" s="84">
        <f>IFERROR($F177*$AE177,"")</f>
        <v/>
      </c>
      <c r="AG177" s="83" t="n"/>
      <c r="AH177" s="65" t="n"/>
    </row>
    <row r="178">
      <c r="B178" s="78" t="inlineStr">
        <is>
          <t>T. 175</t>
        </is>
      </c>
      <c r="C178" s="61">
        <f>IFERROR('01_Key Requirements &amp; Use Cases'!$C165,"")</f>
        <v/>
      </c>
      <c r="D178" s="62">
        <f>IFERROR('01_Key Requirements &amp; Use Cases'!$D165,"")</f>
        <v/>
      </c>
      <c r="E178" s="82" t="n"/>
      <c r="F178" s="30" t="n"/>
      <c r="G178" s="78" t="n"/>
      <c r="H178" s="79" t="n"/>
      <c r="I178" s="74" t="n"/>
      <c r="J178" s="74" t="n"/>
      <c r="K178" s="74" t="n"/>
      <c r="L178" s="74" t="n"/>
      <c r="M178" s="76">
        <f>IFERROR(AVERAGE($G178,$I178,$J178,$K178,$L178),"")</f>
        <v/>
      </c>
      <c r="N178" s="76">
        <f>IFERROR($F178*$M178,"")</f>
        <v/>
      </c>
      <c r="O178" s="83" t="n"/>
      <c r="P178" s="77" t="n"/>
      <c r="Q178" s="67" t="n"/>
      <c r="R178" s="67" t="n"/>
      <c r="S178" s="67" t="n"/>
      <c r="T178" s="67" t="n"/>
      <c r="U178" s="67" t="n"/>
      <c r="V178" s="84">
        <f>IFERROR(AVERAGE($Q178,$R178,$S178,$T178,$U178),"")</f>
        <v/>
      </c>
      <c r="W178" s="122" t="n"/>
      <c r="X178" s="83" t="n"/>
      <c r="Y178" s="65" t="n"/>
      <c r="Z178" s="67" t="n"/>
      <c r="AA178" s="67" t="n"/>
      <c r="AB178" s="67" t="n"/>
      <c r="AC178" s="67" t="n"/>
      <c r="AD178" s="67" t="n"/>
      <c r="AE178" s="84">
        <f>IFERROR(AVERAGE($Z178,$AA178,$AB178,$AC178,$AD178),"")</f>
        <v/>
      </c>
      <c r="AF178" s="84">
        <f>IFERROR($F178*$AE178,"")</f>
        <v/>
      </c>
      <c r="AG178" s="83" t="n"/>
      <c r="AH178" s="65" t="n"/>
    </row>
    <row r="179">
      <c r="B179" s="78" t="inlineStr">
        <is>
          <t>T. 176</t>
        </is>
      </c>
      <c r="C179" s="61">
        <f>IFERROR('01_Key Requirements &amp; Use Cases'!$C166,"")</f>
        <v/>
      </c>
      <c r="D179" s="62">
        <f>IFERROR('01_Key Requirements &amp; Use Cases'!$D166,"")</f>
        <v/>
      </c>
      <c r="E179" s="82" t="n"/>
      <c r="F179" s="30" t="n"/>
      <c r="G179" s="78" t="n"/>
      <c r="H179" s="79" t="n"/>
      <c r="I179" s="74" t="n"/>
      <c r="J179" s="74" t="n"/>
      <c r="K179" s="74" t="n"/>
      <c r="L179" s="74" t="n"/>
      <c r="M179" s="76">
        <f>IFERROR(AVERAGE($G179,$I179,$J179,$K179,$L179),"")</f>
        <v/>
      </c>
      <c r="N179" s="76">
        <f>IFERROR($F179*$M179,"")</f>
        <v/>
      </c>
      <c r="O179" s="83" t="n"/>
      <c r="P179" s="77" t="n"/>
      <c r="Q179" s="67" t="n"/>
      <c r="R179" s="67" t="n"/>
      <c r="S179" s="67" t="n"/>
      <c r="T179" s="67" t="n"/>
      <c r="U179" s="67" t="n"/>
      <c r="V179" s="84">
        <f>IFERROR(AVERAGE($Q179,$R179,$S179,$T179,$U179),"")</f>
        <v/>
      </c>
      <c r="W179" s="122" t="n"/>
      <c r="X179" s="83" t="n"/>
      <c r="Y179" s="65" t="n"/>
      <c r="Z179" s="67" t="n"/>
      <c r="AA179" s="67" t="n"/>
      <c r="AB179" s="67" t="n"/>
      <c r="AC179" s="67" t="n"/>
      <c r="AD179" s="67" t="n"/>
      <c r="AE179" s="84">
        <f>IFERROR(AVERAGE($Z179,$AA179,$AB179,$AC179,$AD179),"")</f>
        <v/>
      </c>
      <c r="AF179" s="84">
        <f>IFERROR($F179*$AE179,"")</f>
        <v/>
      </c>
      <c r="AG179" s="83" t="n"/>
      <c r="AH179" s="65" t="n"/>
    </row>
    <row r="180">
      <c r="B180" s="78" t="inlineStr">
        <is>
          <t>T. 177</t>
        </is>
      </c>
      <c r="C180" s="61">
        <f>IFERROR('01_Key Requirements &amp; Use Cases'!$C167,"")</f>
        <v/>
      </c>
      <c r="D180" s="62">
        <f>IFERROR('01_Key Requirements &amp; Use Cases'!$D167,"")</f>
        <v/>
      </c>
      <c r="E180" s="82" t="n"/>
      <c r="F180" s="30" t="n"/>
      <c r="G180" s="78" t="n"/>
      <c r="H180" s="79" t="n"/>
      <c r="I180" s="74" t="n"/>
      <c r="J180" s="74" t="n"/>
      <c r="K180" s="74" t="n"/>
      <c r="L180" s="74" t="n"/>
      <c r="M180" s="76">
        <f>IFERROR(AVERAGE($G180,$I180,$J180,$K180,$L180),"")</f>
        <v/>
      </c>
      <c r="N180" s="76">
        <f>IFERROR($F180*$M180,"")</f>
        <v/>
      </c>
      <c r="O180" s="83" t="n"/>
      <c r="P180" s="77" t="n"/>
      <c r="Q180" s="67" t="n"/>
      <c r="R180" s="67" t="n"/>
      <c r="S180" s="67" t="n"/>
      <c r="T180" s="67" t="n"/>
      <c r="U180" s="67" t="n"/>
      <c r="V180" s="84">
        <f>IFERROR(AVERAGE($Q180,$R180,$S180,$T180,$U180),"")</f>
        <v/>
      </c>
      <c r="W180" s="122" t="n"/>
      <c r="X180" s="83" t="n"/>
      <c r="Y180" s="65" t="n"/>
      <c r="Z180" s="67" t="n"/>
      <c r="AA180" s="67" t="n"/>
      <c r="AB180" s="67" t="n"/>
      <c r="AC180" s="67" t="n"/>
      <c r="AD180" s="67" t="n"/>
      <c r="AE180" s="84">
        <f>IFERROR(AVERAGE($Z180,$AA180,$AB180,$AC180,$AD180),"")</f>
        <v/>
      </c>
      <c r="AF180" s="84">
        <f>IFERROR($F180*$AE180,"")</f>
        <v/>
      </c>
      <c r="AG180" s="83" t="n"/>
      <c r="AH180" s="65" t="n"/>
    </row>
    <row r="181">
      <c r="B181" s="78" t="inlineStr">
        <is>
          <t>T. 178</t>
        </is>
      </c>
      <c r="C181" s="61">
        <f>IFERROR('01_Key Requirements &amp; Use Cases'!$C168,"")</f>
        <v/>
      </c>
      <c r="D181" s="62">
        <f>IFERROR('01_Key Requirements &amp; Use Cases'!$D168,"")</f>
        <v/>
      </c>
      <c r="E181" s="82" t="n"/>
      <c r="F181" s="30" t="n"/>
      <c r="G181" s="78" t="n"/>
      <c r="H181" s="79" t="n"/>
      <c r="I181" s="74" t="n"/>
      <c r="J181" s="74" t="n"/>
      <c r="K181" s="74" t="n"/>
      <c r="L181" s="74" t="n"/>
      <c r="M181" s="76">
        <f>IFERROR(AVERAGE($G181,$I181,$J181,$K181,$L181),"")</f>
        <v/>
      </c>
      <c r="N181" s="76">
        <f>IFERROR($F181*$M181,"")</f>
        <v/>
      </c>
      <c r="O181" s="83" t="n"/>
      <c r="P181" s="77" t="n"/>
      <c r="Q181" s="67" t="n"/>
      <c r="R181" s="67" t="n"/>
      <c r="S181" s="67" t="n"/>
      <c r="T181" s="67" t="n"/>
      <c r="U181" s="67" t="n"/>
      <c r="V181" s="84">
        <f>IFERROR(AVERAGE($Q181,$R181,$S181,$T181,$U181),"")</f>
        <v/>
      </c>
      <c r="W181" s="122" t="n"/>
      <c r="X181" s="83" t="n"/>
      <c r="Y181" s="65" t="n"/>
      <c r="Z181" s="67" t="n"/>
      <c r="AA181" s="67" t="n"/>
      <c r="AB181" s="67" t="n"/>
      <c r="AC181" s="67" t="n"/>
      <c r="AD181" s="67" t="n"/>
      <c r="AE181" s="84">
        <f>IFERROR(AVERAGE($Z181,$AA181,$AB181,$AC181,$AD181),"")</f>
        <v/>
      </c>
      <c r="AF181" s="84">
        <f>IFERROR($F181*$AE181,"")</f>
        <v/>
      </c>
      <c r="AG181" s="83" t="n"/>
      <c r="AH181" s="65" t="n"/>
    </row>
    <row r="182">
      <c r="B182" s="78" t="inlineStr">
        <is>
          <t>T. 179</t>
        </is>
      </c>
      <c r="C182" s="61">
        <f>IFERROR('01_Key Requirements &amp; Use Cases'!$C169,"")</f>
        <v/>
      </c>
      <c r="D182" s="62">
        <f>IFERROR('01_Key Requirements &amp; Use Cases'!$D169,"")</f>
        <v/>
      </c>
      <c r="E182" s="82" t="n"/>
      <c r="F182" s="30" t="n"/>
      <c r="G182" s="78" t="n"/>
      <c r="H182" s="79" t="n"/>
      <c r="I182" s="74" t="n"/>
      <c r="J182" s="74" t="n"/>
      <c r="K182" s="74" t="n"/>
      <c r="L182" s="74" t="n"/>
      <c r="M182" s="76">
        <f>IFERROR(AVERAGE($G182,$I182,$J182,$K182,$L182),"")</f>
        <v/>
      </c>
      <c r="N182" s="76">
        <f>IFERROR($F182*$M182,"")</f>
        <v/>
      </c>
      <c r="O182" s="83" t="n"/>
      <c r="P182" s="77" t="n"/>
      <c r="Q182" s="67" t="n"/>
      <c r="R182" s="67" t="n"/>
      <c r="S182" s="67" t="n"/>
      <c r="T182" s="67" t="n"/>
      <c r="U182" s="67" t="n"/>
      <c r="V182" s="84">
        <f>IFERROR(AVERAGE($Q182,$R182,$S182,$T182,$U182),"")</f>
        <v/>
      </c>
      <c r="W182" s="122" t="n"/>
      <c r="X182" s="83" t="n"/>
      <c r="Y182" s="65" t="n"/>
      <c r="Z182" s="67" t="n"/>
      <c r="AA182" s="67" t="n"/>
      <c r="AB182" s="67" t="n"/>
      <c r="AC182" s="67" t="n"/>
      <c r="AD182" s="67" t="n"/>
      <c r="AE182" s="84">
        <f>IFERROR(AVERAGE($Z182,$AA182,$AB182,$AC182,$AD182),"")</f>
        <v/>
      </c>
      <c r="AF182" s="84">
        <f>IFERROR($F182*$AE182,"")</f>
        <v/>
      </c>
      <c r="AG182" s="83" t="n"/>
      <c r="AH182" s="65" t="n"/>
    </row>
    <row r="183">
      <c r="B183" s="78" t="inlineStr">
        <is>
          <t>T. 180</t>
        </is>
      </c>
      <c r="C183" s="61">
        <f>IFERROR('01_Key Requirements &amp; Use Cases'!$C170,"")</f>
        <v/>
      </c>
      <c r="D183" s="62">
        <f>IFERROR('01_Key Requirements &amp; Use Cases'!$D170,"")</f>
        <v/>
      </c>
      <c r="E183" s="82" t="n"/>
      <c r="F183" s="30" t="n"/>
      <c r="G183" s="78" t="n"/>
      <c r="H183" s="79" t="n"/>
      <c r="I183" s="74" t="n"/>
      <c r="J183" s="74" t="n"/>
      <c r="K183" s="74" t="n"/>
      <c r="L183" s="74" t="n"/>
      <c r="M183" s="76">
        <f>IFERROR(AVERAGE($G183,$I183,$J183,$K183,$L183),"")</f>
        <v/>
      </c>
      <c r="N183" s="76">
        <f>IFERROR($F183*$M183,"")</f>
        <v/>
      </c>
      <c r="O183" s="83" t="n"/>
      <c r="P183" s="77" t="n"/>
      <c r="Q183" s="67" t="n"/>
      <c r="R183" s="67" t="n"/>
      <c r="S183" s="67" t="n"/>
      <c r="T183" s="67" t="n"/>
      <c r="U183" s="67" t="n"/>
      <c r="V183" s="84">
        <f>IFERROR(AVERAGE($Q183,$R183,$S183,$T183,$U183),"")</f>
        <v/>
      </c>
      <c r="W183" s="122" t="n"/>
      <c r="X183" s="83" t="n"/>
      <c r="Y183" s="65" t="n"/>
      <c r="Z183" s="67" t="n"/>
      <c r="AA183" s="67" t="n"/>
      <c r="AB183" s="67" t="n"/>
      <c r="AC183" s="67" t="n"/>
      <c r="AD183" s="67" t="n"/>
      <c r="AE183" s="84">
        <f>IFERROR(AVERAGE($Z183,$AA183,$AB183,$AC183,$AD183),"")</f>
        <v/>
      </c>
      <c r="AF183" s="84">
        <f>IFERROR($F183*$AE183,"")</f>
        <v/>
      </c>
      <c r="AG183" s="83" t="n"/>
      <c r="AH183" s="65" t="n"/>
    </row>
    <row r="184">
      <c r="B184" s="78" t="inlineStr">
        <is>
          <t>T. 181</t>
        </is>
      </c>
      <c r="C184" s="61">
        <f>IFERROR('01_Key Requirements &amp; Use Cases'!$C171,"")</f>
        <v/>
      </c>
      <c r="D184" s="62">
        <f>IFERROR('01_Key Requirements &amp; Use Cases'!$D171,"")</f>
        <v/>
      </c>
      <c r="E184" s="82" t="n"/>
      <c r="F184" s="30" t="n"/>
      <c r="G184" s="78" t="n"/>
      <c r="H184" s="79" t="n"/>
      <c r="I184" s="74" t="n"/>
      <c r="J184" s="74" t="n"/>
      <c r="K184" s="74" t="n"/>
      <c r="L184" s="74" t="n"/>
      <c r="M184" s="76">
        <f>IFERROR(AVERAGE($G184,$I184,$J184,$K184,$L184),"")</f>
        <v/>
      </c>
      <c r="N184" s="76">
        <f>IFERROR($F184*$M184,"")</f>
        <v/>
      </c>
      <c r="O184" s="83" t="n"/>
      <c r="P184" s="77" t="n"/>
      <c r="Q184" s="67" t="n"/>
      <c r="R184" s="67" t="n"/>
      <c r="S184" s="67" t="n"/>
      <c r="T184" s="67" t="n"/>
      <c r="U184" s="67" t="n"/>
      <c r="V184" s="84">
        <f>IFERROR(AVERAGE($Q184,$R184,$S184,$T184,$U184),"")</f>
        <v/>
      </c>
      <c r="W184" s="122" t="n"/>
      <c r="X184" s="83" t="n"/>
      <c r="Y184" s="65" t="n"/>
      <c r="Z184" s="67" t="n"/>
      <c r="AA184" s="67" t="n"/>
      <c r="AB184" s="67" t="n"/>
      <c r="AC184" s="67" t="n"/>
      <c r="AD184" s="67" t="n"/>
      <c r="AE184" s="84">
        <f>IFERROR(AVERAGE($Z184,$AA184,$AB184,$AC184,$AD184),"")</f>
        <v/>
      </c>
      <c r="AF184" s="84">
        <f>IFERROR($F184*$AE184,"")</f>
        <v/>
      </c>
      <c r="AG184" s="83" t="n"/>
      <c r="AH184" s="65" t="n"/>
    </row>
    <row r="185">
      <c r="B185" s="78" t="inlineStr">
        <is>
          <t>T. 182</t>
        </is>
      </c>
      <c r="C185" s="61">
        <f>IFERROR('01_Key Requirements &amp; Use Cases'!$C172,"")</f>
        <v/>
      </c>
      <c r="D185" s="62">
        <f>IFERROR('01_Key Requirements &amp; Use Cases'!$D172,"")</f>
        <v/>
      </c>
      <c r="E185" s="82" t="n"/>
      <c r="F185" s="30" t="n"/>
      <c r="G185" s="78" t="n"/>
      <c r="H185" s="79" t="n"/>
      <c r="I185" s="74" t="n"/>
      <c r="J185" s="74" t="n"/>
      <c r="K185" s="74" t="n"/>
      <c r="L185" s="74" t="n"/>
      <c r="M185" s="76">
        <f>IFERROR(AVERAGE($G185,$I185,$J185,$K185,$L185),"")</f>
        <v/>
      </c>
      <c r="N185" s="76">
        <f>IFERROR($F185*$M185,"")</f>
        <v/>
      </c>
      <c r="O185" s="83" t="n"/>
      <c r="P185" s="77" t="n"/>
      <c r="Q185" s="67" t="n"/>
      <c r="R185" s="67" t="n"/>
      <c r="S185" s="67" t="n"/>
      <c r="T185" s="67" t="n"/>
      <c r="U185" s="67" t="n"/>
      <c r="V185" s="84">
        <f>IFERROR(AVERAGE($Q185,$R185,$S185,$T185,$U185),"")</f>
        <v/>
      </c>
      <c r="W185" s="122" t="n"/>
      <c r="X185" s="83" t="n"/>
      <c r="Y185" s="65" t="n"/>
      <c r="Z185" s="67" t="n"/>
      <c r="AA185" s="67" t="n"/>
      <c r="AB185" s="67" t="n"/>
      <c r="AC185" s="67" t="n"/>
      <c r="AD185" s="67" t="n"/>
      <c r="AE185" s="84">
        <f>IFERROR(AVERAGE($Z185,$AA185,$AB185,$AC185,$AD185),"")</f>
        <v/>
      </c>
      <c r="AF185" s="84">
        <f>IFERROR($F185*$AE185,"")</f>
        <v/>
      </c>
      <c r="AG185" s="83" t="n"/>
      <c r="AH185" s="65" t="n"/>
    </row>
    <row r="186">
      <c r="B186" s="78" t="inlineStr">
        <is>
          <t>T. 183</t>
        </is>
      </c>
      <c r="C186" s="61">
        <f>IFERROR('01_Key Requirements &amp; Use Cases'!$C173,"")</f>
        <v/>
      </c>
      <c r="D186" s="62">
        <f>IFERROR('01_Key Requirements &amp; Use Cases'!$D173,"")</f>
        <v/>
      </c>
      <c r="E186" s="82" t="n"/>
      <c r="F186" s="30" t="n"/>
      <c r="G186" s="78" t="n"/>
      <c r="H186" s="79" t="n"/>
      <c r="I186" s="74" t="n"/>
      <c r="J186" s="74" t="n"/>
      <c r="K186" s="74" t="n"/>
      <c r="L186" s="74" t="n"/>
      <c r="M186" s="76">
        <f>IFERROR(AVERAGE($G186,$I186,$J186,$K186,$L186),"")</f>
        <v/>
      </c>
      <c r="N186" s="76">
        <f>IFERROR($F186*$M186,"")</f>
        <v/>
      </c>
      <c r="O186" s="83" t="n"/>
      <c r="P186" s="77" t="n"/>
      <c r="Q186" s="67" t="n"/>
      <c r="R186" s="67" t="n"/>
      <c r="S186" s="67" t="n"/>
      <c r="T186" s="67" t="n"/>
      <c r="U186" s="67" t="n"/>
      <c r="V186" s="84">
        <f>IFERROR(AVERAGE($Q186,$R186,$S186,$T186,$U186),"")</f>
        <v/>
      </c>
      <c r="W186" s="122" t="n"/>
      <c r="X186" s="83" t="n"/>
      <c r="Y186" s="65" t="n"/>
      <c r="Z186" s="67" t="n"/>
      <c r="AA186" s="67" t="n"/>
      <c r="AB186" s="67" t="n"/>
      <c r="AC186" s="67" t="n"/>
      <c r="AD186" s="67" t="n"/>
      <c r="AE186" s="84">
        <f>IFERROR(AVERAGE($Z186,$AA186,$AB186,$AC186,$AD186),"")</f>
        <v/>
      </c>
      <c r="AF186" s="84">
        <f>IFERROR($F186*$AE186,"")</f>
        <v/>
      </c>
      <c r="AG186" s="83" t="n"/>
      <c r="AH186" s="65" t="n"/>
    </row>
    <row r="187">
      <c r="B187" s="78" t="inlineStr">
        <is>
          <t>T. 184</t>
        </is>
      </c>
      <c r="C187" s="61">
        <f>IFERROR('01_Key Requirements &amp; Use Cases'!$C174,"")</f>
        <v/>
      </c>
      <c r="D187" s="62">
        <f>IFERROR('01_Key Requirements &amp; Use Cases'!$D174,"")</f>
        <v/>
      </c>
      <c r="E187" s="82" t="n"/>
      <c r="F187" s="30" t="n"/>
      <c r="G187" s="78" t="n"/>
      <c r="H187" s="79" t="n"/>
      <c r="I187" s="74" t="n"/>
      <c r="J187" s="74" t="n"/>
      <c r="K187" s="74" t="n"/>
      <c r="L187" s="74" t="n"/>
      <c r="M187" s="76">
        <f>IFERROR(AVERAGE($G187,$I187,$J187,$K187,$L187),"")</f>
        <v/>
      </c>
      <c r="N187" s="76">
        <f>IFERROR($F187*$M187,"")</f>
        <v/>
      </c>
      <c r="O187" s="83" t="n"/>
      <c r="P187" s="77" t="n"/>
      <c r="Q187" s="67" t="n"/>
      <c r="R187" s="67" t="n"/>
      <c r="S187" s="67" t="n"/>
      <c r="T187" s="67" t="n"/>
      <c r="U187" s="67" t="n"/>
      <c r="V187" s="84">
        <f>IFERROR(AVERAGE($Q187,$R187,$S187,$T187,$U187),"")</f>
        <v/>
      </c>
      <c r="W187" s="122" t="n"/>
      <c r="X187" s="83" t="n"/>
      <c r="Y187" s="65" t="n"/>
      <c r="Z187" s="67" t="n"/>
      <c r="AA187" s="67" t="n"/>
      <c r="AB187" s="67" t="n"/>
      <c r="AC187" s="67" t="n"/>
      <c r="AD187" s="67" t="n"/>
      <c r="AE187" s="84">
        <f>IFERROR(AVERAGE($Z187,$AA187,$AB187,$AC187,$AD187),"")</f>
        <v/>
      </c>
      <c r="AF187" s="84">
        <f>IFERROR($F187*$AE187,"")</f>
        <v/>
      </c>
      <c r="AG187" s="83" t="n"/>
      <c r="AH187" s="65" t="n"/>
    </row>
    <row r="188">
      <c r="B188" s="78" t="inlineStr">
        <is>
          <t>T. 185</t>
        </is>
      </c>
      <c r="C188" s="61">
        <f>IFERROR('01_Key Requirements &amp; Use Cases'!$C175,"")</f>
        <v/>
      </c>
      <c r="D188" s="62">
        <f>IFERROR('01_Key Requirements &amp; Use Cases'!$D175,"")</f>
        <v/>
      </c>
      <c r="E188" s="82" t="n"/>
      <c r="F188" s="30" t="n"/>
      <c r="G188" s="78" t="n"/>
      <c r="H188" s="79" t="n"/>
      <c r="I188" s="74" t="n"/>
      <c r="J188" s="74" t="n"/>
      <c r="K188" s="74" t="n"/>
      <c r="L188" s="74" t="n"/>
      <c r="M188" s="76">
        <f>IFERROR(AVERAGE($G188,$I188,$J188,$K188,$L188),"")</f>
        <v/>
      </c>
      <c r="N188" s="76">
        <f>IFERROR($F188*$M188,"")</f>
        <v/>
      </c>
      <c r="O188" s="83" t="n"/>
      <c r="P188" s="77" t="n"/>
      <c r="Q188" s="67" t="n"/>
      <c r="R188" s="67" t="n"/>
      <c r="S188" s="67" t="n"/>
      <c r="T188" s="67" t="n"/>
      <c r="U188" s="67" t="n"/>
      <c r="V188" s="84">
        <f>IFERROR(AVERAGE($Q188,$R188,$S188,$T188,$U188),"")</f>
        <v/>
      </c>
      <c r="W188" s="122" t="n"/>
      <c r="X188" s="83" t="n"/>
      <c r="Y188" s="65" t="n"/>
      <c r="Z188" s="67" t="n"/>
      <c r="AA188" s="67" t="n"/>
      <c r="AB188" s="67" t="n"/>
      <c r="AC188" s="67" t="n"/>
      <c r="AD188" s="67" t="n"/>
      <c r="AE188" s="84">
        <f>IFERROR(AVERAGE($Z188,$AA188,$AB188,$AC188,$AD188),"")</f>
        <v/>
      </c>
      <c r="AF188" s="84">
        <f>IFERROR($F188*$AE188,"")</f>
        <v/>
      </c>
      <c r="AG188" s="83" t="n"/>
      <c r="AH188" s="65" t="n"/>
    </row>
    <row r="189">
      <c r="B189" s="78" t="inlineStr">
        <is>
          <t>T. 186</t>
        </is>
      </c>
      <c r="C189" s="61">
        <f>IFERROR('01_Key Requirements &amp; Use Cases'!$C176,"")</f>
        <v/>
      </c>
      <c r="D189" s="62">
        <f>IFERROR('01_Key Requirements &amp; Use Cases'!$D176,"")</f>
        <v/>
      </c>
      <c r="E189" s="82" t="n"/>
      <c r="F189" s="30" t="n"/>
      <c r="G189" s="78" t="n"/>
      <c r="H189" s="79" t="n"/>
      <c r="I189" s="74" t="n"/>
      <c r="J189" s="74" t="n"/>
      <c r="K189" s="74" t="n"/>
      <c r="L189" s="74" t="n"/>
      <c r="M189" s="76">
        <f>IFERROR(AVERAGE($G189,$I189,$J189,$K189,$L189),"")</f>
        <v/>
      </c>
      <c r="N189" s="76">
        <f>IFERROR($F189*$M189,"")</f>
        <v/>
      </c>
      <c r="O189" s="83" t="n"/>
      <c r="P189" s="77" t="n"/>
      <c r="Q189" s="67" t="n"/>
      <c r="R189" s="67" t="n"/>
      <c r="S189" s="67" t="n"/>
      <c r="T189" s="67" t="n"/>
      <c r="U189" s="67" t="n"/>
      <c r="V189" s="84">
        <f>IFERROR(AVERAGE($Q189,$R189,$S189,$T189,$U189),"")</f>
        <v/>
      </c>
      <c r="W189" s="122" t="n"/>
      <c r="X189" s="83" t="n"/>
      <c r="Y189" s="65" t="n"/>
      <c r="Z189" s="67" t="n"/>
      <c r="AA189" s="67" t="n"/>
      <c r="AB189" s="67" t="n"/>
      <c r="AC189" s="67" t="n"/>
      <c r="AD189" s="67" t="n"/>
      <c r="AE189" s="84">
        <f>IFERROR(AVERAGE($Z189,$AA189,$AB189,$AC189,$AD189),"")</f>
        <v/>
      </c>
      <c r="AF189" s="84">
        <f>IFERROR($F189*$AE189,"")</f>
        <v/>
      </c>
      <c r="AG189" s="83" t="n"/>
      <c r="AH189" s="65" t="n"/>
    </row>
    <row r="190">
      <c r="B190" s="78" t="inlineStr">
        <is>
          <t>T. 187</t>
        </is>
      </c>
      <c r="C190" s="61">
        <f>IFERROR('01_Key Requirements &amp; Use Cases'!$C177,"")</f>
        <v/>
      </c>
      <c r="D190" s="62">
        <f>IFERROR('01_Key Requirements &amp; Use Cases'!$D177,"")</f>
        <v/>
      </c>
      <c r="E190" s="82" t="n"/>
      <c r="F190" s="30" t="n"/>
      <c r="G190" s="78" t="n"/>
      <c r="H190" s="79" t="n"/>
      <c r="I190" s="74" t="n"/>
      <c r="J190" s="74" t="n"/>
      <c r="K190" s="74" t="n"/>
      <c r="L190" s="74" t="n"/>
      <c r="M190" s="76">
        <f>IFERROR(AVERAGE($G190,$I190,$J190,$K190,$L190),"")</f>
        <v/>
      </c>
      <c r="N190" s="76">
        <f>IFERROR($F190*$M190,"")</f>
        <v/>
      </c>
      <c r="O190" s="83" t="n"/>
      <c r="P190" s="77" t="n"/>
      <c r="Q190" s="67" t="n"/>
      <c r="R190" s="67" t="n"/>
      <c r="S190" s="67" t="n"/>
      <c r="T190" s="67" t="n"/>
      <c r="U190" s="67" t="n"/>
      <c r="V190" s="84">
        <f>IFERROR(AVERAGE($Q190,$R190,$S190,$T190,$U190),"")</f>
        <v/>
      </c>
      <c r="W190" s="122" t="n"/>
      <c r="X190" s="83" t="n"/>
      <c r="Y190" s="65" t="n"/>
      <c r="Z190" s="67" t="n"/>
      <c r="AA190" s="67" t="n"/>
      <c r="AB190" s="67" t="n"/>
      <c r="AC190" s="67" t="n"/>
      <c r="AD190" s="67" t="n"/>
      <c r="AE190" s="84">
        <f>IFERROR(AVERAGE($Z190,$AA190,$AB190,$AC190,$AD190),"")</f>
        <v/>
      </c>
      <c r="AF190" s="84">
        <f>IFERROR($F190*$AE190,"")</f>
        <v/>
      </c>
      <c r="AG190" s="83" t="n"/>
      <c r="AH190" s="65" t="n"/>
    </row>
    <row r="191">
      <c r="B191" s="78" t="inlineStr">
        <is>
          <t>T. 188</t>
        </is>
      </c>
      <c r="C191" s="61">
        <f>IFERROR('01_Key Requirements &amp; Use Cases'!$C178,"")</f>
        <v/>
      </c>
      <c r="D191" s="62">
        <f>IFERROR('01_Key Requirements &amp; Use Cases'!$D178,"")</f>
        <v/>
      </c>
      <c r="E191" s="82" t="n"/>
      <c r="F191" s="30" t="n"/>
      <c r="G191" s="78" t="n"/>
      <c r="H191" s="79" t="n"/>
      <c r="I191" s="74" t="n"/>
      <c r="J191" s="74" t="n"/>
      <c r="K191" s="74" t="n"/>
      <c r="L191" s="74" t="n"/>
      <c r="M191" s="76">
        <f>IFERROR(AVERAGE($G191,$I191,$J191,$K191,$L191),"")</f>
        <v/>
      </c>
      <c r="N191" s="76">
        <f>IFERROR($F191*$M191,"")</f>
        <v/>
      </c>
      <c r="O191" s="83" t="n"/>
      <c r="P191" s="77" t="n"/>
      <c r="Q191" s="67" t="n"/>
      <c r="R191" s="67" t="n"/>
      <c r="S191" s="67" t="n"/>
      <c r="T191" s="67" t="n"/>
      <c r="U191" s="67" t="n"/>
      <c r="V191" s="84">
        <f>IFERROR(AVERAGE($Q191,$R191,$S191,$T191,$U191),"")</f>
        <v/>
      </c>
      <c r="W191" s="122" t="n"/>
      <c r="X191" s="83" t="n"/>
      <c r="Y191" s="65" t="n"/>
      <c r="Z191" s="67" t="n"/>
      <c r="AA191" s="67" t="n"/>
      <c r="AB191" s="67" t="n"/>
      <c r="AC191" s="67" t="n"/>
      <c r="AD191" s="67" t="n"/>
      <c r="AE191" s="84">
        <f>IFERROR(AVERAGE($Z191,$AA191,$AB191,$AC191,$AD191),"")</f>
        <v/>
      </c>
      <c r="AF191" s="84">
        <f>IFERROR($F191*$AE191,"")</f>
        <v/>
      </c>
      <c r="AG191" s="83" t="n"/>
      <c r="AH191" s="65" t="n"/>
    </row>
    <row r="192">
      <c r="B192" s="78" t="inlineStr">
        <is>
          <t>T. 189</t>
        </is>
      </c>
      <c r="C192" s="61">
        <f>IFERROR('01_Key Requirements &amp; Use Cases'!$C179,"")</f>
        <v/>
      </c>
      <c r="D192" s="62">
        <f>IFERROR('01_Key Requirements &amp; Use Cases'!$D179,"")</f>
        <v/>
      </c>
      <c r="E192" s="82" t="n"/>
      <c r="F192" s="30" t="n"/>
      <c r="G192" s="78" t="n"/>
      <c r="H192" s="79" t="n"/>
      <c r="I192" s="74" t="n"/>
      <c r="J192" s="74" t="n"/>
      <c r="K192" s="74" t="n"/>
      <c r="L192" s="74" t="n"/>
      <c r="M192" s="76">
        <f>IFERROR(AVERAGE($G192,$I192,$J192,$K192,$L192),"")</f>
        <v/>
      </c>
      <c r="N192" s="76">
        <f>IFERROR($F192*$M192,"")</f>
        <v/>
      </c>
      <c r="O192" s="83" t="n"/>
      <c r="P192" s="77" t="n"/>
      <c r="Q192" s="67" t="n"/>
      <c r="R192" s="67" t="n"/>
      <c r="S192" s="67" t="n"/>
      <c r="T192" s="67" t="n"/>
      <c r="U192" s="67" t="n"/>
      <c r="V192" s="84">
        <f>IFERROR(AVERAGE($Q192,$R192,$S192,$T192,$U192),"")</f>
        <v/>
      </c>
      <c r="W192" s="122" t="n"/>
      <c r="X192" s="83" t="n"/>
      <c r="Y192" s="65" t="n"/>
      <c r="Z192" s="67" t="n"/>
      <c r="AA192" s="67" t="n"/>
      <c r="AB192" s="67" t="n"/>
      <c r="AC192" s="67" t="n"/>
      <c r="AD192" s="67" t="n"/>
      <c r="AE192" s="84">
        <f>IFERROR(AVERAGE($Z192,$AA192,$AB192,$AC192,$AD192),"")</f>
        <v/>
      </c>
      <c r="AF192" s="84">
        <f>IFERROR($F192*$AE192,"")</f>
        <v/>
      </c>
      <c r="AG192" s="83" t="n"/>
      <c r="AH192" s="65" t="n"/>
    </row>
    <row r="193">
      <c r="B193" s="78" t="inlineStr">
        <is>
          <t>T. 190</t>
        </is>
      </c>
      <c r="C193" s="61">
        <f>IFERROR('01_Key Requirements &amp; Use Cases'!$C180,"")</f>
        <v/>
      </c>
      <c r="D193" s="62">
        <f>IFERROR('01_Key Requirements &amp; Use Cases'!$D180,"")</f>
        <v/>
      </c>
      <c r="E193" s="82" t="n"/>
      <c r="F193" s="30" t="n"/>
      <c r="G193" s="78" t="n"/>
      <c r="H193" s="79" t="n"/>
      <c r="I193" s="74" t="n"/>
      <c r="J193" s="74" t="n"/>
      <c r="K193" s="74" t="n"/>
      <c r="L193" s="74" t="n"/>
      <c r="M193" s="76">
        <f>IFERROR(AVERAGE($G193,$I193,$J193,$K193,$L193),"")</f>
        <v/>
      </c>
      <c r="N193" s="76">
        <f>IFERROR($F193*$M193,"")</f>
        <v/>
      </c>
      <c r="O193" s="83" t="n"/>
      <c r="P193" s="77" t="n"/>
      <c r="Q193" s="67" t="n"/>
      <c r="R193" s="67" t="n"/>
      <c r="S193" s="67" t="n"/>
      <c r="T193" s="67" t="n"/>
      <c r="U193" s="67" t="n"/>
      <c r="V193" s="84">
        <f>IFERROR(AVERAGE($Q193,$R193,$S193,$T193,$U193),"")</f>
        <v/>
      </c>
      <c r="W193" s="122" t="n"/>
      <c r="X193" s="83" t="n"/>
      <c r="Y193" s="65" t="n"/>
      <c r="Z193" s="67" t="n"/>
      <c r="AA193" s="67" t="n"/>
      <c r="AB193" s="67" t="n"/>
      <c r="AC193" s="67" t="n"/>
      <c r="AD193" s="67" t="n"/>
      <c r="AE193" s="84">
        <f>IFERROR(AVERAGE($Z193,$AA193,$AB193,$AC193,$AD193),"")</f>
        <v/>
      </c>
      <c r="AF193" s="84">
        <f>IFERROR($F193*$AE193,"")</f>
        <v/>
      </c>
      <c r="AG193" s="83" t="n"/>
      <c r="AH193" s="65" t="n"/>
    </row>
    <row r="194">
      <c r="B194" s="78" t="inlineStr">
        <is>
          <t>T. 191</t>
        </is>
      </c>
      <c r="C194" s="61">
        <f>IFERROR('01_Key Requirements &amp; Use Cases'!$C181,"")</f>
        <v/>
      </c>
      <c r="D194" s="62">
        <f>IFERROR('01_Key Requirements &amp; Use Cases'!$D181,"")</f>
        <v/>
      </c>
      <c r="E194" s="82" t="n"/>
      <c r="F194" s="30" t="n"/>
      <c r="G194" s="78" t="n"/>
      <c r="H194" s="79" t="n"/>
      <c r="I194" s="74" t="n"/>
      <c r="J194" s="74" t="n"/>
      <c r="K194" s="74" t="n"/>
      <c r="L194" s="74" t="n"/>
      <c r="M194" s="76">
        <f>IFERROR(AVERAGE($G194,$I194,$J194,$K194,$L194),"")</f>
        <v/>
      </c>
      <c r="N194" s="76">
        <f>IFERROR($F194*$M194,"")</f>
        <v/>
      </c>
      <c r="O194" s="83" t="n"/>
      <c r="P194" s="77" t="n"/>
      <c r="Q194" s="67" t="n"/>
      <c r="R194" s="67" t="n"/>
      <c r="S194" s="67" t="n"/>
      <c r="T194" s="67" t="n"/>
      <c r="U194" s="67" t="n"/>
      <c r="V194" s="84">
        <f>IFERROR(AVERAGE($Q194,$R194,$S194,$T194,$U194),"")</f>
        <v/>
      </c>
      <c r="W194" s="122" t="n"/>
      <c r="X194" s="83" t="n"/>
      <c r="Y194" s="65" t="n"/>
      <c r="Z194" s="67" t="n"/>
      <c r="AA194" s="67" t="n"/>
      <c r="AB194" s="67" t="n"/>
      <c r="AC194" s="67" t="n"/>
      <c r="AD194" s="67" t="n"/>
      <c r="AE194" s="84">
        <f>IFERROR(AVERAGE($Z194,$AA194,$AB194,$AC194,$AD194),"")</f>
        <v/>
      </c>
      <c r="AF194" s="84">
        <f>IFERROR($F194*$AE194,"")</f>
        <v/>
      </c>
      <c r="AG194" s="83" t="n"/>
      <c r="AH194" s="65" t="n"/>
    </row>
    <row r="195">
      <c r="B195" s="78" t="inlineStr">
        <is>
          <t>T. 192</t>
        </is>
      </c>
      <c r="C195" s="61">
        <f>IFERROR('01_Key Requirements &amp; Use Cases'!$C182,"")</f>
        <v/>
      </c>
      <c r="D195" s="62">
        <f>IFERROR('01_Key Requirements &amp; Use Cases'!$D182,"")</f>
        <v/>
      </c>
      <c r="E195" s="82" t="n"/>
      <c r="F195" s="30" t="n"/>
      <c r="G195" s="78" t="n"/>
      <c r="H195" s="79" t="n"/>
      <c r="I195" s="74" t="n"/>
      <c r="J195" s="74" t="n"/>
      <c r="K195" s="74" t="n"/>
      <c r="L195" s="74" t="n"/>
      <c r="M195" s="76">
        <f>IFERROR(AVERAGE($G195,$I195,$J195,$K195,$L195),"")</f>
        <v/>
      </c>
      <c r="N195" s="76">
        <f>IFERROR($F195*$M195,"")</f>
        <v/>
      </c>
      <c r="O195" s="83" t="n"/>
      <c r="P195" s="77" t="n"/>
      <c r="Q195" s="67" t="n"/>
      <c r="R195" s="67" t="n"/>
      <c r="S195" s="67" t="n"/>
      <c r="T195" s="67" t="n"/>
      <c r="U195" s="67" t="n"/>
      <c r="V195" s="84">
        <f>IFERROR(AVERAGE($Q195,$R195,$S195,$T195,$U195),"")</f>
        <v/>
      </c>
      <c r="W195" s="122" t="n"/>
      <c r="X195" s="83" t="n"/>
      <c r="Y195" s="65" t="n"/>
      <c r="Z195" s="67" t="n"/>
      <c r="AA195" s="67" t="n"/>
      <c r="AB195" s="67" t="n"/>
      <c r="AC195" s="67" t="n"/>
      <c r="AD195" s="67" t="n"/>
      <c r="AE195" s="84">
        <f>IFERROR(AVERAGE($Z195,$AA195,$AB195,$AC195,$AD195),"")</f>
        <v/>
      </c>
      <c r="AF195" s="84">
        <f>IFERROR($F195*$AE195,"")</f>
        <v/>
      </c>
      <c r="AG195" s="83" t="n"/>
      <c r="AH195" s="65" t="n"/>
    </row>
    <row r="196">
      <c r="B196" s="78" t="inlineStr">
        <is>
          <t>T. 193</t>
        </is>
      </c>
      <c r="C196" s="61">
        <f>IFERROR('01_Key Requirements &amp; Use Cases'!$C183,"")</f>
        <v/>
      </c>
      <c r="D196" s="62">
        <f>IFERROR('01_Key Requirements &amp; Use Cases'!$D183,"")</f>
        <v/>
      </c>
      <c r="E196" s="82" t="n"/>
      <c r="F196" s="30" t="n"/>
      <c r="G196" s="78" t="n"/>
      <c r="H196" s="79" t="n"/>
      <c r="I196" s="74" t="n"/>
      <c r="J196" s="74" t="n"/>
      <c r="K196" s="74" t="n"/>
      <c r="L196" s="74" t="n"/>
      <c r="M196" s="76">
        <f>IFERROR(AVERAGE($G196,$I196,$J196,$K196,$L196),"")</f>
        <v/>
      </c>
      <c r="N196" s="76">
        <f>IFERROR($F196*$M196,"")</f>
        <v/>
      </c>
      <c r="O196" s="83" t="n"/>
      <c r="P196" s="77" t="n"/>
      <c r="Q196" s="67" t="n"/>
      <c r="R196" s="67" t="n"/>
      <c r="S196" s="67" t="n"/>
      <c r="T196" s="67" t="n"/>
      <c r="U196" s="67" t="n"/>
      <c r="V196" s="84">
        <f>IFERROR(AVERAGE($Q196,$R196,$S196,$T196,$U196),"")</f>
        <v/>
      </c>
      <c r="W196" s="122" t="n"/>
      <c r="X196" s="83" t="n"/>
      <c r="Y196" s="65" t="n"/>
      <c r="Z196" s="67" t="n"/>
      <c r="AA196" s="67" t="n"/>
      <c r="AB196" s="67" t="n"/>
      <c r="AC196" s="67" t="n"/>
      <c r="AD196" s="67" t="n"/>
      <c r="AE196" s="84">
        <f>IFERROR(AVERAGE($Z196,$AA196,$AB196,$AC196,$AD196),"")</f>
        <v/>
      </c>
      <c r="AF196" s="84">
        <f>IFERROR($F196*$AE196,"")</f>
        <v/>
      </c>
      <c r="AG196" s="83" t="n"/>
      <c r="AH196" s="65" t="n"/>
    </row>
    <row r="197">
      <c r="B197" s="78" t="inlineStr">
        <is>
          <t>T. 194</t>
        </is>
      </c>
      <c r="C197" s="61">
        <f>IFERROR('01_Key Requirements &amp; Use Cases'!$C184,"")</f>
        <v/>
      </c>
      <c r="D197" s="62">
        <f>IFERROR('01_Key Requirements &amp; Use Cases'!$D184,"")</f>
        <v/>
      </c>
      <c r="E197" s="82" t="n"/>
      <c r="F197" s="30" t="n"/>
      <c r="G197" s="78" t="n"/>
      <c r="H197" s="79" t="n"/>
      <c r="I197" s="74" t="n"/>
      <c r="J197" s="74" t="n"/>
      <c r="K197" s="74" t="n"/>
      <c r="L197" s="74" t="n"/>
      <c r="M197" s="76">
        <f>IFERROR(AVERAGE($G197,$I197,$J197,$K197,$L197),"")</f>
        <v/>
      </c>
      <c r="N197" s="76">
        <f>IFERROR($F197*$M197,"")</f>
        <v/>
      </c>
      <c r="O197" s="83" t="n"/>
      <c r="P197" s="77" t="n"/>
      <c r="Q197" s="67" t="n"/>
      <c r="R197" s="67" t="n"/>
      <c r="S197" s="67" t="n"/>
      <c r="T197" s="67" t="n"/>
      <c r="U197" s="67" t="n"/>
      <c r="V197" s="84">
        <f>IFERROR(AVERAGE($Q197,$R197,$S197,$T197,$U197),"")</f>
        <v/>
      </c>
      <c r="W197" s="122" t="n"/>
      <c r="X197" s="83" t="n"/>
      <c r="Y197" s="65" t="n"/>
      <c r="Z197" s="67" t="n"/>
      <c r="AA197" s="67" t="n"/>
      <c r="AB197" s="67" t="n"/>
      <c r="AC197" s="67" t="n"/>
      <c r="AD197" s="67" t="n"/>
      <c r="AE197" s="84">
        <f>IFERROR(AVERAGE($Z197,$AA197,$AB197,$AC197,$AD197),"")</f>
        <v/>
      </c>
      <c r="AF197" s="84">
        <f>IFERROR($F197*$AE197,"")</f>
        <v/>
      </c>
      <c r="AG197" s="83" t="n"/>
      <c r="AH197" s="65" t="n"/>
    </row>
    <row r="198">
      <c r="B198" s="78" t="inlineStr">
        <is>
          <t>T. 195</t>
        </is>
      </c>
      <c r="C198" s="61">
        <f>IFERROR('01_Key Requirements &amp; Use Cases'!$C185,"")</f>
        <v/>
      </c>
      <c r="D198" s="62">
        <f>IFERROR('01_Key Requirements &amp; Use Cases'!$D185,"")</f>
        <v/>
      </c>
      <c r="E198" s="82" t="n"/>
      <c r="F198" s="30" t="n"/>
      <c r="G198" s="78" t="n"/>
      <c r="H198" s="79" t="n"/>
      <c r="I198" s="74" t="n"/>
      <c r="J198" s="74" t="n"/>
      <c r="K198" s="74" t="n"/>
      <c r="L198" s="74" t="n"/>
      <c r="M198" s="76">
        <f>IFERROR(AVERAGE($G198,$I198,$J198,$K198,$L198),"")</f>
        <v/>
      </c>
      <c r="N198" s="76">
        <f>IFERROR($F198*$M198,"")</f>
        <v/>
      </c>
      <c r="O198" s="83" t="n"/>
      <c r="P198" s="77" t="n"/>
      <c r="Q198" s="67" t="n"/>
      <c r="R198" s="67" t="n"/>
      <c r="S198" s="67" t="n"/>
      <c r="T198" s="67" t="n"/>
      <c r="U198" s="67" t="n"/>
      <c r="V198" s="84">
        <f>IFERROR(AVERAGE($Q198,$R198,$S198,$T198,$U198),"")</f>
        <v/>
      </c>
      <c r="W198" s="122" t="n"/>
      <c r="X198" s="83" t="n"/>
      <c r="Y198" s="65" t="n"/>
      <c r="Z198" s="67" t="n"/>
      <c r="AA198" s="67" t="n"/>
      <c r="AB198" s="67" t="n"/>
      <c r="AC198" s="67" t="n"/>
      <c r="AD198" s="67" t="n"/>
      <c r="AE198" s="84">
        <f>IFERROR(AVERAGE($Z198,$AA198,$AB198,$AC198,$AD198),"")</f>
        <v/>
      </c>
      <c r="AF198" s="84">
        <f>IFERROR($F198*$AE198,"")</f>
        <v/>
      </c>
      <c r="AG198" s="83" t="n"/>
      <c r="AH198" s="65" t="n"/>
    </row>
    <row r="199">
      <c r="B199" s="78" t="inlineStr">
        <is>
          <t>T. 196</t>
        </is>
      </c>
      <c r="C199" s="61">
        <f>IFERROR('01_Key Requirements &amp; Use Cases'!$C186,"")</f>
        <v/>
      </c>
      <c r="D199" s="62">
        <f>IFERROR('01_Key Requirements &amp; Use Cases'!$D186,"")</f>
        <v/>
      </c>
      <c r="E199" s="82" t="n"/>
      <c r="F199" s="30" t="n"/>
      <c r="G199" s="78" t="n"/>
      <c r="H199" s="79" t="n"/>
      <c r="I199" s="74" t="n"/>
      <c r="J199" s="74" t="n"/>
      <c r="K199" s="74" t="n"/>
      <c r="L199" s="74" t="n"/>
      <c r="M199" s="76">
        <f>IFERROR(AVERAGE($G199,$I199,$J199,$K199,$L199),"")</f>
        <v/>
      </c>
      <c r="N199" s="76">
        <f>IFERROR($F199*$M199,"")</f>
        <v/>
      </c>
      <c r="O199" s="83" t="n"/>
      <c r="P199" s="77" t="n"/>
      <c r="Q199" s="67" t="n"/>
      <c r="R199" s="67" t="n"/>
      <c r="S199" s="67" t="n"/>
      <c r="T199" s="67" t="n"/>
      <c r="U199" s="67" t="n"/>
      <c r="V199" s="84">
        <f>IFERROR(AVERAGE($Q199,$R199,$S199,$T199,$U199),"")</f>
        <v/>
      </c>
      <c r="W199" s="122" t="n"/>
      <c r="X199" s="83" t="n"/>
      <c r="Y199" s="65" t="n"/>
      <c r="Z199" s="67" t="n"/>
      <c r="AA199" s="67" t="n"/>
      <c r="AB199" s="67" t="n"/>
      <c r="AC199" s="67" t="n"/>
      <c r="AD199" s="67" t="n"/>
      <c r="AE199" s="84">
        <f>IFERROR(AVERAGE($Z199,$AA199,$AB199,$AC199,$AD199),"")</f>
        <v/>
      </c>
      <c r="AF199" s="84">
        <f>IFERROR($F199*$AE199,"")</f>
        <v/>
      </c>
      <c r="AG199" s="83" t="n"/>
      <c r="AH199" s="65" t="n"/>
    </row>
    <row r="200">
      <c r="B200" s="78" t="inlineStr">
        <is>
          <t>T. 197</t>
        </is>
      </c>
      <c r="C200" s="61">
        <f>IFERROR('01_Key Requirements &amp; Use Cases'!$C187,"")</f>
        <v/>
      </c>
      <c r="D200" s="62">
        <f>IFERROR('01_Key Requirements &amp; Use Cases'!$D187,"")</f>
        <v/>
      </c>
      <c r="E200" s="82" t="n"/>
      <c r="F200" s="30" t="n"/>
      <c r="G200" s="78" t="n"/>
      <c r="H200" s="79" t="n"/>
      <c r="I200" s="74" t="n"/>
      <c r="J200" s="74" t="n"/>
      <c r="K200" s="74" t="n"/>
      <c r="L200" s="74" t="n"/>
      <c r="M200" s="76">
        <f>IFERROR(AVERAGE($G200,$I200,$J200,$K200,$L200),"")</f>
        <v/>
      </c>
      <c r="N200" s="76">
        <f>IFERROR($F200*$M200,"")</f>
        <v/>
      </c>
      <c r="O200" s="83" t="n"/>
      <c r="P200" s="77" t="n"/>
      <c r="Q200" s="67" t="n"/>
      <c r="R200" s="67" t="n"/>
      <c r="S200" s="67" t="n"/>
      <c r="T200" s="67" t="n"/>
      <c r="U200" s="67" t="n"/>
      <c r="V200" s="84">
        <f>IFERROR(AVERAGE($Q200,$R200,$S200,$T200,$U200),"")</f>
        <v/>
      </c>
      <c r="W200" s="122" t="n"/>
      <c r="X200" s="83" t="n"/>
      <c r="Y200" s="65" t="n"/>
      <c r="Z200" s="67" t="n"/>
      <c r="AA200" s="67" t="n"/>
      <c r="AB200" s="67" t="n"/>
      <c r="AC200" s="67" t="n"/>
      <c r="AD200" s="67" t="n"/>
      <c r="AE200" s="84">
        <f>IFERROR(AVERAGE($Z200,$AA200,$AB200,$AC200,$AD200),"")</f>
        <v/>
      </c>
      <c r="AF200" s="84">
        <f>IFERROR($F200*$AE200,"")</f>
        <v/>
      </c>
      <c r="AG200" s="83" t="n"/>
      <c r="AH200" s="65" t="n"/>
    </row>
    <row r="201">
      <c r="B201" s="78" t="inlineStr">
        <is>
          <t>T. 198</t>
        </is>
      </c>
      <c r="C201" s="61">
        <f>IFERROR('01_Key Requirements &amp; Use Cases'!$C188,"")</f>
        <v/>
      </c>
      <c r="D201" s="62">
        <f>IFERROR('01_Key Requirements &amp; Use Cases'!$D188,"")</f>
        <v/>
      </c>
      <c r="E201" s="82" t="n"/>
      <c r="F201" s="30" t="n"/>
      <c r="G201" s="78" t="n"/>
      <c r="H201" s="79" t="n"/>
      <c r="I201" s="74" t="n"/>
      <c r="J201" s="74" t="n"/>
      <c r="K201" s="74" t="n"/>
      <c r="L201" s="74" t="n"/>
      <c r="M201" s="76">
        <f>IFERROR(AVERAGE($G201,$I201,$J201,$K201,$L201),"")</f>
        <v/>
      </c>
      <c r="N201" s="76">
        <f>IFERROR($F201*$M201,"")</f>
        <v/>
      </c>
      <c r="O201" s="83" t="n"/>
      <c r="P201" s="77" t="n"/>
      <c r="Q201" s="67" t="n"/>
      <c r="R201" s="67" t="n"/>
      <c r="S201" s="67" t="n"/>
      <c r="T201" s="67" t="n"/>
      <c r="U201" s="67" t="n"/>
      <c r="V201" s="84">
        <f>IFERROR(AVERAGE($Q201,$R201,$S201,$T201,$U201),"")</f>
        <v/>
      </c>
      <c r="W201" s="122" t="n"/>
      <c r="X201" s="83" t="n"/>
      <c r="Y201" s="65" t="n"/>
      <c r="Z201" s="67" t="n"/>
      <c r="AA201" s="67" t="n"/>
      <c r="AB201" s="67" t="n"/>
      <c r="AC201" s="67" t="n"/>
      <c r="AD201" s="67" t="n"/>
      <c r="AE201" s="84">
        <f>IFERROR(AVERAGE($Z201,$AA201,$AB201,$AC201,$AD201),"")</f>
        <v/>
      </c>
      <c r="AF201" s="84">
        <f>IFERROR($F201*$AE201,"")</f>
        <v/>
      </c>
      <c r="AG201" s="83" t="n"/>
      <c r="AH201" s="65" t="n"/>
    </row>
    <row r="202">
      <c r="B202" s="78" t="inlineStr">
        <is>
          <t>T. 199</t>
        </is>
      </c>
      <c r="C202" s="61">
        <f>IFERROR('01_Key Requirements &amp; Use Cases'!$C189,"")</f>
        <v/>
      </c>
      <c r="D202" s="62">
        <f>IFERROR('01_Key Requirements &amp; Use Cases'!$D189,"")</f>
        <v/>
      </c>
      <c r="E202" s="82" t="n"/>
      <c r="F202" s="30" t="n"/>
      <c r="G202" s="78" t="n"/>
      <c r="H202" s="79" t="n"/>
      <c r="I202" s="74" t="n"/>
      <c r="J202" s="74" t="n"/>
      <c r="K202" s="74" t="n"/>
      <c r="L202" s="74" t="n"/>
      <c r="M202" s="76">
        <f>IFERROR(AVERAGE($G202,$I202,$J202,$K202,$L202),"")</f>
        <v/>
      </c>
      <c r="N202" s="76">
        <f>IFERROR($F202*$M202,"")</f>
        <v/>
      </c>
      <c r="O202" s="83" t="n"/>
      <c r="P202" s="77" t="n"/>
      <c r="Q202" s="67" t="n"/>
      <c r="R202" s="67" t="n"/>
      <c r="S202" s="67" t="n"/>
      <c r="T202" s="67" t="n"/>
      <c r="U202" s="67" t="n"/>
      <c r="V202" s="84">
        <f>IFERROR(AVERAGE($Q202,$R202,$S202,$T202,$U202),"")</f>
        <v/>
      </c>
      <c r="W202" s="122" t="n"/>
      <c r="X202" s="83" t="n"/>
      <c r="Y202" s="65" t="n"/>
      <c r="Z202" s="67" t="n"/>
      <c r="AA202" s="67" t="n"/>
      <c r="AB202" s="67" t="n"/>
      <c r="AC202" s="67" t="n"/>
      <c r="AD202" s="67" t="n"/>
      <c r="AE202" s="84">
        <f>IFERROR(AVERAGE($Z202,$AA202,$AB202,$AC202,$AD202),"")</f>
        <v/>
      </c>
      <c r="AF202" s="84">
        <f>IFERROR($F202*$AE202,"")</f>
        <v/>
      </c>
      <c r="AG202" s="83" t="n"/>
      <c r="AH202" s="65" t="n"/>
    </row>
    <row r="203">
      <c r="B203" s="78" t="inlineStr">
        <is>
          <t>T. 200</t>
        </is>
      </c>
      <c r="C203" s="61">
        <f>IFERROR('01_Key Requirements &amp; Use Cases'!$C190,"")</f>
        <v/>
      </c>
      <c r="D203" s="62">
        <f>IFERROR('01_Key Requirements &amp; Use Cases'!$D190,"")</f>
        <v/>
      </c>
      <c r="E203" s="82" t="n"/>
      <c r="F203" s="30" t="n"/>
      <c r="G203" s="78" t="n"/>
      <c r="H203" s="79" t="n"/>
      <c r="I203" s="74" t="n"/>
      <c r="J203" s="74" t="n"/>
      <c r="K203" s="74" t="n"/>
      <c r="L203" s="74" t="n"/>
      <c r="M203" s="76">
        <f>IFERROR(AVERAGE($G203,$I203,$J203,$K203,$L203),"")</f>
        <v/>
      </c>
      <c r="N203" s="76">
        <f>IFERROR($F203*$M203,"")</f>
        <v/>
      </c>
      <c r="O203" s="83" t="n"/>
      <c r="P203" s="77" t="n"/>
      <c r="Q203" s="67" t="n"/>
      <c r="R203" s="67" t="n"/>
      <c r="S203" s="67" t="n"/>
      <c r="T203" s="67" t="n"/>
      <c r="U203" s="67" t="n"/>
      <c r="V203" s="84">
        <f>IFERROR(AVERAGE($Q203,$R203,$S203,$T203,$U203),"")</f>
        <v/>
      </c>
      <c r="W203" s="122" t="n"/>
      <c r="X203" s="83" t="n"/>
      <c r="Y203" s="65" t="n"/>
      <c r="Z203" s="67" t="n"/>
      <c r="AA203" s="67" t="n"/>
      <c r="AB203" s="67" t="n"/>
      <c r="AC203" s="67" t="n"/>
      <c r="AD203" s="67" t="n"/>
      <c r="AE203" s="84">
        <f>IFERROR(AVERAGE($Z203,$AA203,$AB203,$AC203,$AD203),"")</f>
        <v/>
      </c>
      <c r="AF203" s="84">
        <f>IFERROR($F203*$AE203,"")</f>
        <v/>
      </c>
      <c r="AG203" s="83" t="n"/>
      <c r="AH203" s="65" t="n"/>
    </row>
    <row r="204">
      <c r="B204" s="78" t="inlineStr">
        <is>
          <t>T. 201</t>
        </is>
      </c>
      <c r="C204" s="61">
        <f>IFERROR('01_Key Requirements &amp; Use Cases'!#REF!,"")</f>
        <v/>
      </c>
      <c r="D204" s="62">
        <f>IFERROR('01_Key Requirements &amp; Use Cases'!#REF!,"")</f>
        <v/>
      </c>
      <c r="E204" s="82" t="n"/>
      <c r="F204" s="30" t="n"/>
      <c r="G204" s="78" t="n"/>
      <c r="H204" s="79" t="n"/>
      <c r="I204" s="74" t="n"/>
      <c r="J204" s="74" t="n"/>
      <c r="K204" s="74" t="n"/>
      <c r="L204" s="74" t="n"/>
      <c r="M204" s="76">
        <f>IFERROR(AVERAGE($G204,$I204,$J204,$K204,$L204),"")</f>
        <v/>
      </c>
      <c r="N204" s="76">
        <f>IFERROR($F204*$M204,"")</f>
        <v/>
      </c>
      <c r="O204" s="83" t="n"/>
      <c r="P204" s="77" t="n"/>
      <c r="Q204" s="67" t="n"/>
      <c r="R204" s="67" t="n"/>
      <c r="S204" s="67" t="n"/>
      <c r="T204" s="67" t="n"/>
      <c r="U204" s="67" t="n"/>
      <c r="V204" s="84">
        <f>IFERROR(AVERAGE($Q204,$R204,$S204,$T204,$U204),"")</f>
        <v/>
      </c>
      <c r="W204" s="122" t="n"/>
      <c r="X204" s="83" t="n"/>
      <c r="Y204" s="65" t="n"/>
      <c r="Z204" s="67" t="n"/>
      <c r="AA204" s="67" t="n"/>
      <c r="AB204" s="67" t="n"/>
      <c r="AC204" s="67" t="n"/>
      <c r="AD204" s="67" t="n"/>
      <c r="AE204" s="84">
        <f>IFERROR(AVERAGE($Z204,$AA204,$AB204,$AC204,$AD204),"")</f>
        <v/>
      </c>
      <c r="AF204" s="84">
        <f>IFERROR($F204*$AE204,"")</f>
        <v/>
      </c>
      <c r="AG204" s="83" t="n"/>
      <c r="AH204" s="65" t="n"/>
    </row>
    <row r="205">
      <c r="B205" s="78" t="inlineStr">
        <is>
          <t>T. 202</t>
        </is>
      </c>
      <c r="C205" s="61">
        <f>IFERROR('01_Key Requirements &amp; Use Cases'!#REF!,"")</f>
        <v/>
      </c>
      <c r="D205" s="62">
        <f>IFERROR('01_Key Requirements &amp; Use Cases'!#REF!,"")</f>
        <v/>
      </c>
      <c r="E205" s="82" t="n"/>
      <c r="F205" s="30" t="n"/>
      <c r="G205" s="78" t="n"/>
      <c r="H205" s="79" t="n"/>
      <c r="I205" s="74" t="n"/>
      <c r="J205" s="74" t="n"/>
      <c r="K205" s="74" t="n"/>
      <c r="L205" s="74" t="n"/>
      <c r="M205" s="76">
        <f>IFERROR(AVERAGE($G205,$I205,$J205,$K205,$L205),"")</f>
        <v/>
      </c>
      <c r="N205" s="76">
        <f>IFERROR($F205*$M205,"")</f>
        <v/>
      </c>
      <c r="O205" s="83" t="n"/>
      <c r="P205" s="77" t="n"/>
      <c r="Q205" s="67" t="n"/>
      <c r="R205" s="67" t="n"/>
      <c r="S205" s="67" t="n"/>
      <c r="T205" s="67" t="n"/>
      <c r="U205" s="67" t="n"/>
      <c r="V205" s="84">
        <f>IFERROR(AVERAGE($Q205,$R205,$S205,$T205,$U205),"")</f>
        <v/>
      </c>
      <c r="W205" s="122" t="n"/>
      <c r="X205" s="83" t="n"/>
      <c r="Y205" s="65" t="n"/>
      <c r="Z205" s="67" t="n"/>
      <c r="AA205" s="67" t="n"/>
      <c r="AB205" s="67" t="n"/>
      <c r="AC205" s="67" t="n"/>
      <c r="AD205" s="67" t="n"/>
      <c r="AE205" s="84">
        <f>IFERROR(AVERAGE($Z205,$AA205,$AB205,$AC205,$AD205),"")</f>
        <v/>
      </c>
      <c r="AF205" s="84">
        <f>IFERROR($F205*$AE205,"")</f>
        <v/>
      </c>
      <c r="AG205" s="83" t="n"/>
      <c r="AH205" s="65" t="n"/>
    </row>
    <row r="206">
      <c r="B206" s="78" t="inlineStr">
        <is>
          <t>T. 203</t>
        </is>
      </c>
      <c r="C206" s="61">
        <f>IFERROR('01_Key Requirements &amp; Use Cases'!#REF!,"")</f>
        <v/>
      </c>
      <c r="D206" s="62">
        <f>IFERROR('01_Key Requirements &amp; Use Cases'!#REF!,"")</f>
        <v/>
      </c>
      <c r="E206" s="82" t="n"/>
      <c r="F206" s="30" t="n"/>
      <c r="G206" s="78" t="n"/>
      <c r="H206" s="79" t="n"/>
      <c r="I206" s="74" t="n"/>
      <c r="J206" s="74" t="n"/>
      <c r="K206" s="74" t="n"/>
      <c r="L206" s="74" t="n"/>
      <c r="M206" s="76">
        <f>IFERROR(AVERAGE($G206,$I206,$J206,$K206,$L206),"")</f>
        <v/>
      </c>
      <c r="N206" s="76">
        <f>IFERROR($F206*$M206,"")</f>
        <v/>
      </c>
      <c r="O206" s="83" t="n"/>
      <c r="P206" s="77" t="n"/>
      <c r="Q206" s="67" t="n"/>
      <c r="R206" s="67" t="n"/>
      <c r="S206" s="67" t="n"/>
      <c r="T206" s="67" t="n"/>
      <c r="U206" s="67" t="n"/>
      <c r="V206" s="84">
        <f>IFERROR(AVERAGE($Q206,$R206,$S206,$T206,$U206),"")</f>
        <v/>
      </c>
      <c r="W206" s="122" t="n"/>
      <c r="X206" s="83" t="n"/>
      <c r="Y206" s="65" t="n"/>
      <c r="Z206" s="67" t="n"/>
      <c r="AA206" s="67" t="n"/>
      <c r="AB206" s="67" t="n"/>
      <c r="AC206" s="67" t="n"/>
      <c r="AD206" s="67" t="n"/>
      <c r="AE206" s="84">
        <f>IFERROR(AVERAGE($Z206,$AA206,$AB206,$AC206,$AD206),"")</f>
        <v/>
      </c>
      <c r="AF206" s="84">
        <f>IFERROR($F206*$AE206,"")</f>
        <v/>
      </c>
      <c r="AG206" s="83" t="n"/>
      <c r="AH206" s="65" t="n"/>
    </row>
    <row r="207">
      <c r="B207" s="78" t="inlineStr">
        <is>
          <t>T. 204</t>
        </is>
      </c>
      <c r="C207" s="61">
        <f>IFERROR('01_Key Requirements &amp; Use Cases'!#REF!,"")</f>
        <v/>
      </c>
      <c r="D207" s="62">
        <f>IFERROR('01_Key Requirements &amp; Use Cases'!#REF!,"")</f>
        <v/>
      </c>
      <c r="E207" s="82" t="n"/>
      <c r="F207" s="30" t="n"/>
      <c r="G207" s="78" t="n"/>
      <c r="H207" s="79" t="n"/>
      <c r="I207" s="74" t="n"/>
      <c r="J207" s="74" t="n"/>
      <c r="K207" s="74" t="n"/>
      <c r="L207" s="74" t="n"/>
      <c r="M207" s="76">
        <f>IFERROR(AVERAGE($G207,$I207,$J207,$K207,$L207),"")</f>
        <v/>
      </c>
      <c r="N207" s="76">
        <f>IFERROR($F207*$M207,"")</f>
        <v/>
      </c>
      <c r="O207" s="83" t="n"/>
      <c r="P207" s="77" t="n"/>
      <c r="Q207" s="67" t="n"/>
      <c r="R207" s="67" t="n"/>
      <c r="S207" s="67" t="n"/>
      <c r="T207" s="67" t="n"/>
      <c r="U207" s="67" t="n"/>
      <c r="V207" s="84">
        <f>IFERROR(AVERAGE($Q207,$R207,$S207,$T207,$U207),"")</f>
        <v/>
      </c>
      <c r="W207" s="122" t="n"/>
      <c r="X207" s="83" t="n"/>
      <c r="Y207" s="65" t="n"/>
      <c r="Z207" s="67" t="n"/>
      <c r="AA207" s="67" t="n"/>
      <c r="AB207" s="67" t="n"/>
      <c r="AC207" s="67" t="n"/>
      <c r="AD207" s="67" t="n"/>
      <c r="AE207" s="84">
        <f>IFERROR(AVERAGE($Z207,$AA207,$AB207,$AC207,$AD207),"")</f>
        <v/>
      </c>
      <c r="AF207" s="84">
        <f>IFERROR($F207*$AE207,"")</f>
        <v/>
      </c>
      <c r="AG207" s="83" t="n"/>
      <c r="AH207" s="65" t="n"/>
    </row>
    <row r="208">
      <c r="B208" s="78" t="inlineStr">
        <is>
          <t>T. 205</t>
        </is>
      </c>
      <c r="C208" s="61">
        <f>IFERROR('01_Key Requirements &amp; Use Cases'!#REF!,"")</f>
        <v/>
      </c>
      <c r="D208" s="62">
        <f>IFERROR('01_Key Requirements &amp; Use Cases'!#REF!,"")</f>
        <v/>
      </c>
      <c r="E208" s="82" t="n"/>
      <c r="F208" s="30" t="n"/>
      <c r="G208" s="78" t="n"/>
      <c r="H208" s="79" t="n"/>
      <c r="I208" s="74" t="n"/>
      <c r="J208" s="74" t="n"/>
      <c r="K208" s="74" t="n"/>
      <c r="L208" s="74" t="n"/>
      <c r="M208" s="76">
        <f>IFERROR(AVERAGE($G208,$I208,$J208,$K208,$L208),"")</f>
        <v/>
      </c>
      <c r="N208" s="76">
        <f>IFERROR($F208*$M208,"")</f>
        <v/>
      </c>
      <c r="O208" s="83" t="n"/>
      <c r="P208" s="77" t="n"/>
      <c r="Q208" s="67" t="n"/>
      <c r="R208" s="67" t="n"/>
      <c r="S208" s="67" t="n"/>
      <c r="T208" s="67" t="n"/>
      <c r="U208" s="67" t="n"/>
      <c r="V208" s="84">
        <f>IFERROR(AVERAGE($Q208,$R208,$S208,$T208,$U208),"")</f>
        <v/>
      </c>
      <c r="W208" s="122" t="n"/>
      <c r="X208" s="83" t="n"/>
      <c r="Y208" s="65" t="n"/>
      <c r="Z208" s="67" t="n"/>
      <c r="AA208" s="67" t="n"/>
      <c r="AB208" s="67" t="n"/>
      <c r="AC208" s="67" t="n"/>
      <c r="AD208" s="67" t="n"/>
      <c r="AE208" s="84">
        <f>IFERROR(AVERAGE($Z208,$AA208,$AB208,$AC208,$AD208),"")</f>
        <v/>
      </c>
      <c r="AF208" s="84">
        <f>IFERROR($F208*$AE208,"")</f>
        <v/>
      </c>
      <c r="AG208" s="83" t="n"/>
      <c r="AH208" s="65" t="n"/>
    </row>
    <row r="209">
      <c r="B209" s="78" t="inlineStr">
        <is>
          <t>T. 206</t>
        </is>
      </c>
      <c r="C209" s="61">
        <f>IFERROR('01_Key Requirements &amp; Use Cases'!#REF!,"")</f>
        <v/>
      </c>
      <c r="D209" s="62">
        <f>IFERROR('01_Key Requirements &amp; Use Cases'!#REF!,"")</f>
        <v/>
      </c>
      <c r="E209" s="82" t="n"/>
      <c r="F209" s="30" t="n"/>
      <c r="G209" s="78" t="n"/>
      <c r="H209" s="79" t="n"/>
      <c r="I209" s="74" t="n"/>
      <c r="J209" s="74" t="n"/>
      <c r="K209" s="74" t="n"/>
      <c r="L209" s="74" t="n"/>
      <c r="M209" s="76">
        <f>IFERROR(AVERAGE($G209,$I209,$J209,$K209,$L209),"")</f>
        <v/>
      </c>
      <c r="N209" s="76">
        <f>IFERROR($F209*$M209,"")</f>
        <v/>
      </c>
      <c r="O209" s="83" t="n"/>
      <c r="P209" s="77" t="n"/>
      <c r="Q209" s="67" t="n"/>
      <c r="R209" s="67" t="n"/>
      <c r="S209" s="67" t="n"/>
      <c r="T209" s="67" t="n"/>
      <c r="U209" s="67" t="n"/>
      <c r="V209" s="84">
        <f>IFERROR(AVERAGE($Q209,$R209,$S209,$T209,$U209),"")</f>
        <v/>
      </c>
      <c r="W209" s="122" t="n"/>
      <c r="X209" s="83" t="n"/>
      <c r="Y209" s="65" t="n"/>
      <c r="Z209" s="67" t="n"/>
      <c r="AA209" s="67" t="n"/>
      <c r="AB209" s="67" t="n"/>
      <c r="AC209" s="67" t="n"/>
      <c r="AD209" s="67" t="n"/>
      <c r="AE209" s="84">
        <f>IFERROR(AVERAGE($Z209,$AA209,$AB209,$AC209,$AD209),"")</f>
        <v/>
      </c>
      <c r="AF209" s="84">
        <f>IFERROR($F209*$AE209,"")</f>
        <v/>
      </c>
      <c r="AG209" s="83" t="n"/>
      <c r="AH209" s="65" t="n"/>
    </row>
    <row r="210">
      <c r="B210" s="78" t="inlineStr">
        <is>
          <t>T. 207</t>
        </is>
      </c>
      <c r="C210" s="61">
        <f>IFERROR('01_Key Requirements &amp; Use Cases'!#REF!,"")</f>
        <v/>
      </c>
      <c r="D210" s="62">
        <f>IFERROR('01_Key Requirements &amp; Use Cases'!#REF!,"")</f>
        <v/>
      </c>
      <c r="E210" s="82" t="n"/>
      <c r="F210" s="30" t="n"/>
      <c r="G210" s="78" t="n"/>
      <c r="H210" s="79" t="n"/>
      <c r="I210" s="74" t="n"/>
      <c r="J210" s="74" t="n"/>
      <c r="K210" s="74" t="n"/>
      <c r="L210" s="74" t="n"/>
      <c r="M210" s="76">
        <f>IFERROR(AVERAGE($G210,$I210,$J210,$K210,$L210),"")</f>
        <v/>
      </c>
      <c r="N210" s="76">
        <f>IFERROR($F210*$M210,"")</f>
        <v/>
      </c>
      <c r="O210" s="83" t="n"/>
      <c r="P210" s="77" t="n"/>
      <c r="Q210" s="67" t="n"/>
      <c r="R210" s="67" t="n"/>
      <c r="S210" s="67" t="n"/>
      <c r="T210" s="67" t="n"/>
      <c r="U210" s="67" t="n"/>
      <c r="V210" s="84">
        <f>IFERROR(AVERAGE($Q210,$R210,$S210,$T210,$U210),"")</f>
        <v/>
      </c>
      <c r="W210" s="122" t="n"/>
      <c r="X210" s="83" t="n"/>
      <c r="Y210" s="65" t="n"/>
      <c r="Z210" s="67" t="n"/>
      <c r="AA210" s="67" t="n"/>
      <c r="AB210" s="67" t="n"/>
      <c r="AC210" s="67" t="n"/>
      <c r="AD210" s="67" t="n"/>
      <c r="AE210" s="84">
        <f>IFERROR(AVERAGE($Z210,$AA210,$AB210,$AC210,$AD210),"")</f>
        <v/>
      </c>
      <c r="AF210" s="84">
        <f>IFERROR($F210*$AE210,"")</f>
        <v/>
      </c>
      <c r="AG210" s="83" t="n"/>
      <c r="AH210" s="65" t="n"/>
    </row>
    <row r="211">
      <c r="B211" s="78" t="inlineStr">
        <is>
          <t>T. 208</t>
        </is>
      </c>
      <c r="C211" s="61">
        <f>IFERROR('01_Key Requirements &amp; Use Cases'!#REF!,"")</f>
        <v/>
      </c>
      <c r="D211" s="62">
        <f>IFERROR('01_Key Requirements &amp; Use Cases'!#REF!,"")</f>
        <v/>
      </c>
      <c r="E211" s="82" t="n"/>
      <c r="F211" s="30" t="n"/>
      <c r="G211" s="78" t="n"/>
      <c r="H211" s="79" t="n"/>
      <c r="I211" s="74" t="n"/>
      <c r="J211" s="74" t="n"/>
      <c r="K211" s="74" t="n"/>
      <c r="L211" s="74" t="n"/>
      <c r="M211" s="76">
        <f>IFERROR(AVERAGE($G211,$I211,$J211,$K211,$L211),"")</f>
        <v/>
      </c>
      <c r="N211" s="76">
        <f>IFERROR($F211*$M211,"")</f>
        <v/>
      </c>
      <c r="O211" s="83" t="n"/>
      <c r="P211" s="77" t="n"/>
      <c r="Q211" s="67" t="n"/>
      <c r="R211" s="67" t="n"/>
      <c r="S211" s="67" t="n"/>
      <c r="T211" s="67" t="n"/>
      <c r="U211" s="67" t="n"/>
      <c r="V211" s="84">
        <f>IFERROR(AVERAGE($Q211,$R211,$S211,$T211,$U211),"")</f>
        <v/>
      </c>
      <c r="W211" s="122" t="n"/>
      <c r="X211" s="83" t="n"/>
      <c r="Y211" s="65" t="n"/>
      <c r="Z211" s="67" t="n"/>
      <c r="AA211" s="67" t="n"/>
      <c r="AB211" s="67" t="n"/>
      <c r="AC211" s="67" t="n"/>
      <c r="AD211" s="67" t="n"/>
      <c r="AE211" s="84">
        <f>IFERROR(AVERAGE($Z211,$AA211,$AB211,$AC211,$AD211),"")</f>
        <v/>
      </c>
      <c r="AF211" s="84">
        <f>IFERROR($F211*$AE211,"")</f>
        <v/>
      </c>
      <c r="AG211" s="83" t="n"/>
      <c r="AH211" s="65" t="n"/>
    </row>
    <row r="212">
      <c r="B212" s="78" t="inlineStr">
        <is>
          <t>T. 209</t>
        </is>
      </c>
      <c r="C212" s="61">
        <f>IFERROR('01_Key Requirements &amp; Use Cases'!#REF!,"")</f>
        <v/>
      </c>
      <c r="D212" s="62">
        <f>IFERROR('01_Key Requirements &amp; Use Cases'!#REF!,"")</f>
        <v/>
      </c>
      <c r="E212" s="82" t="n"/>
      <c r="F212" s="30" t="n"/>
      <c r="G212" s="78" t="n"/>
      <c r="H212" s="79" t="n"/>
      <c r="I212" s="74" t="n"/>
      <c r="J212" s="74" t="n"/>
      <c r="K212" s="74" t="n"/>
      <c r="L212" s="74" t="n"/>
      <c r="M212" s="76">
        <f>IFERROR(AVERAGE($G212,$I212,$J212,$K212,$L212),"")</f>
        <v/>
      </c>
      <c r="N212" s="76">
        <f>IFERROR($F212*$M212,"")</f>
        <v/>
      </c>
      <c r="O212" s="83" t="n"/>
      <c r="P212" s="77" t="n"/>
      <c r="Q212" s="67" t="n"/>
      <c r="R212" s="67" t="n"/>
      <c r="S212" s="67" t="n"/>
      <c r="T212" s="67" t="n"/>
      <c r="U212" s="67" t="n"/>
      <c r="V212" s="84">
        <f>IFERROR(AVERAGE($Q212,$R212,$S212,$T212,$U212),"")</f>
        <v/>
      </c>
      <c r="W212" s="122" t="n"/>
      <c r="X212" s="83" t="n"/>
      <c r="Y212" s="65" t="n"/>
      <c r="Z212" s="67" t="n"/>
      <c r="AA212" s="67" t="n"/>
      <c r="AB212" s="67" t="n"/>
      <c r="AC212" s="67" t="n"/>
      <c r="AD212" s="67" t="n"/>
      <c r="AE212" s="84">
        <f>IFERROR(AVERAGE($Z212,$AA212,$AB212,$AC212,$AD212),"")</f>
        <v/>
      </c>
      <c r="AF212" s="84">
        <f>IFERROR($F212*$AE212,"")</f>
        <v/>
      </c>
      <c r="AG212" s="83" t="n"/>
      <c r="AH212" s="65" t="n"/>
    </row>
    <row r="213">
      <c r="B213" s="78" t="inlineStr">
        <is>
          <t>T. 210</t>
        </is>
      </c>
      <c r="C213" s="61">
        <f>IFERROR('01_Key Requirements &amp; Use Cases'!#REF!,"")</f>
        <v/>
      </c>
      <c r="D213" s="62">
        <f>IFERROR('01_Key Requirements &amp; Use Cases'!#REF!,"")</f>
        <v/>
      </c>
      <c r="E213" s="82" t="n"/>
      <c r="F213" s="30" t="n"/>
      <c r="G213" s="78" t="n"/>
      <c r="H213" s="79" t="n"/>
      <c r="I213" s="74" t="n"/>
      <c r="J213" s="74" t="n"/>
      <c r="K213" s="74" t="n"/>
      <c r="L213" s="74" t="n"/>
      <c r="M213" s="76">
        <f>IFERROR(AVERAGE($G213,$I213,$J213,$K213,$L213),"")</f>
        <v/>
      </c>
      <c r="N213" s="76">
        <f>IFERROR($F213*$M213,"")</f>
        <v/>
      </c>
      <c r="O213" s="83" t="n"/>
      <c r="P213" s="77" t="n"/>
      <c r="Q213" s="67" t="n"/>
      <c r="R213" s="67" t="n"/>
      <c r="S213" s="67" t="n"/>
      <c r="T213" s="67" t="n"/>
      <c r="U213" s="67" t="n"/>
      <c r="V213" s="84">
        <f>IFERROR(AVERAGE($Q213,$R213,$S213,$T213,$U213),"")</f>
        <v/>
      </c>
      <c r="W213" s="122" t="n"/>
      <c r="X213" s="83" t="n"/>
      <c r="Y213" s="65" t="n"/>
      <c r="Z213" s="67" t="n"/>
      <c r="AA213" s="67" t="n"/>
      <c r="AB213" s="67" t="n"/>
      <c r="AC213" s="67" t="n"/>
      <c r="AD213" s="67" t="n"/>
      <c r="AE213" s="84">
        <f>IFERROR(AVERAGE($Z213,$AA213,$AB213,$AC213,$AD213),"")</f>
        <v/>
      </c>
      <c r="AF213" s="84">
        <f>IFERROR($F213*$AE213,"")</f>
        <v/>
      </c>
      <c r="AG213" s="83" t="n"/>
      <c r="AH213" s="65" t="n"/>
    </row>
    <row r="214">
      <c r="B214" s="78" t="inlineStr">
        <is>
          <t>T. 211</t>
        </is>
      </c>
      <c r="C214" s="61">
        <f>IFERROR('01_Key Requirements &amp; Use Cases'!#REF!,"")</f>
        <v/>
      </c>
      <c r="D214" s="62">
        <f>IFERROR('01_Key Requirements &amp; Use Cases'!#REF!,"")</f>
        <v/>
      </c>
      <c r="E214" s="82" t="n"/>
      <c r="F214" s="30" t="n"/>
      <c r="G214" s="78" t="n"/>
      <c r="H214" s="79" t="n"/>
      <c r="I214" s="74" t="n"/>
      <c r="J214" s="74" t="n"/>
      <c r="K214" s="74" t="n"/>
      <c r="L214" s="74" t="n"/>
      <c r="M214" s="76">
        <f>IFERROR(AVERAGE($G214,$I214,$J214,$K214,$L214),"")</f>
        <v/>
      </c>
      <c r="N214" s="76">
        <f>IFERROR($F214*$M214,"")</f>
        <v/>
      </c>
      <c r="O214" s="83" t="n"/>
      <c r="P214" s="77" t="n"/>
      <c r="Q214" s="67" t="n"/>
      <c r="R214" s="67" t="n"/>
      <c r="S214" s="67" t="n"/>
      <c r="T214" s="67" t="n"/>
      <c r="U214" s="67" t="n"/>
      <c r="V214" s="84">
        <f>IFERROR(AVERAGE($Q214,$R214,$S214,$T214,$U214),"")</f>
        <v/>
      </c>
      <c r="W214" s="122" t="n"/>
      <c r="X214" s="83" t="n"/>
      <c r="Y214" s="65" t="n"/>
      <c r="Z214" s="67" t="n"/>
      <c r="AA214" s="67" t="n"/>
      <c r="AB214" s="67" t="n"/>
      <c r="AC214" s="67" t="n"/>
      <c r="AD214" s="67" t="n"/>
      <c r="AE214" s="84">
        <f>IFERROR(AVERAGE($Z214,$AA214,$AB214,$AC214,$AD214),"")</f>
        <v/>
      </c>
      <c r="AF214" s="84">
        <f>IFERROR($F214*$AE214,"")</f>
        <v/>
      </c>
      <c r="AG214" s="83" t="n"/>
      <c r="AH214" s="65" t="n"/>
    </row>
    <row r="215">
      <c r="B215" s="78" t="inlineStr">
        <is>
          <t>T. 212</t>
        </is>
      </c>
      <c r="C215" s="61">
        <f>IFERROR('01_Key Requirements &amp; Use Cases'!#REF!,"")</f>
        <v/>
      </c>
      <c r="D215" s="62">
        <f>IFERROR('01_Key Requirements &amp; Use Cases'!#REF!,"")</f>
        <v/>
      </c>
      <c r="E215" s="82" t="n"/>
      <c r="F215" s="30" t="n"/>
      <c r="G215" s="78" t="n"/>
      <c r="H215" s="79" t="n"/>
      <c r="I215" s="74" t="n"/>
      <c r="J215" s="74" t="n"/>
      <c r="K215" s="74" t="n"/>
      <c r="L215" s="74" t="n"/>
      <c r="M215" s="76">
        <f>IFERROR(AVERAGE($G215,$I215,$J215,$K215,$L215),"")</f>
        <v/>
      </c>
      <c r="N215" s="76">
        <f>IFERROR($F215*$M215,"")</f>
        <v/>
      </c>
      <c r="O215" s="83" t="n"/>
      <c r="P215" s="77" t="n"/>
      <c r="Q215" s="67" t="n"/>
      <c r="R215" s="67" t="n"/>
      <c r="S215" s="67" t="n"/>
      <c r="T215" s="67" t="n"/>
      <c r="U215" s="67" t="n"/>
      <c r="V215" s="84">
        <f>IFERROR(AVERAGE($Q215,$R215,$S215,$T215,$U215),"")</f>
        <v/>
      </c>
      <c r="W215" s="122" t="n"/>
      <c r="X215" s="83" t="n"/>
      <c r="Y215" s="65" t="n"/>
      <c r="Z215" s="67" t="n"/>
      <c r="AA215" s="67" t="n"/>
      <c r="AB215" s="67" t="n"/>
      <c r="AC215" s="67" t="n"/>
      <c r="AD215" s="67" t="n"/>
      <c r="AE215" s="84">
        <f>IFERROR(AVERAGE($Z215,$AA215,$AB215,$AC215,$AD215),"")</f>
        <v/>
      </c>
      <c r="AF215" s="84">
        <f>IFERROR($F215*$AE215,"")</f>
        <v/>
      </c>
      <c r="AG215" s="83" t="n"/>
      <c r="AH215" s="65" t="n"/>
    </row>
    <row r="216">
      <c r="B216" s="78" t="inlineStr">
        <is>
          <t>T. 213</t>
        </is>
      </c>
      <c r="C216" s="61">
        <f>IFERROR('01_Key Requirements &amp; Use Cases'!#REF!,"")</f>
        <v/>
      </c>
      <c r="D216" s="62">
        <f>IFERROR('01_Key Requirements &amp; Use Cases'!#REF!,"")</f>
        <v/>
      </c>
      <c r="E216" s="82" t="n"/>
      <c r="F216" s="30" t="n"/>
      <c r="G216" s="78" t="n"/>
      <c r="H216" s="79" t="n"/>
      <c r="I216" s="74" t="n"/>
      <c r="J216" s="74" t="n"/>
      <c r="K216" s="74" t="n"/>
      <c r="L216" s="74" t="n"/>
      <c r="M216" s="76">
        <f>IFERROR(AVERAGE($G216,$I216,$J216,$K216,$L216),"")</f>
        <v/>
      </c>
      <c r="N216" s="76">
        <f>IFERROR($F216*$M216,"")</f>
        <v/>
      </c>
      <c r="O216" s="83" t="n"/>
      <c r="P216" s="77" t="n"/>
      <c r="Q216" s="67" t="n"/>
      <c r="R216" s="67" t="n"/>
      <c r="S216" s="67" t="n"/>
      <c r="T216" s="67" t="n"/>
      <c r="U216" s="67" t="n"/>
      <c r="V216" s="84">
        <f>IFERROR(AVERAGE($Q216,$R216,$S216,$T216,$U216),"")</f>
        <v/>
      </c>
      <c r="W216" s="122" t="n"/>
      <c r="X216" s="83" t="n"/>
      <c r="Y216" s="65" t="n"/>
      <c r="Z216" s="67" t="n"/>
      <c r="AA216" s="67" t="n"/>
      <c r="AB216" s="67" t="n"/>
      <c r="AC216" s="67" t="n"/>
      <c r="AD216" s="67" t="n"/>
      <c r="AE216" s="84">
        <f>IFERROR(AVERAGE($Z216,$AA216,$AB216,$AC216,$AD216),"")</f>
        <v/>
      </c>
      <c r="AF216" s="84">
        <f>IFERROR($F216*$AE216,"")</f>
        <v/>
      </c>
      <c r="AG216" s="83" t="n"/>
      <c r="AH216" s="65" t="n"/>
    </row>
    <row r="217">
      <c r="B217" s="78" t="inlineStr">
        <is>
          <t>T. 214</t>
        </is>
      </c>
      <c r="C217" s="61">
        <f>IFERROR('01_Key Requirements &amp; Use Cases'!#REF!,"")</f>
        <v/>
      </c>
      <c r="D217" s="62">
        <f>IFERROR('01_Key Requirements &amp; Use Cases'!#REF!,"")</f>
        <v/>
      </c>
      <c r="E217" s="82" t="n"/>
      <c r="F217" s="30" t="n"/>
      <c r="G217" s="78" t="n"/>
      <c r="H217" s="79" t="n"/>
      <c r="I217" s="74" t="n"/>
      <c r="J217" s="74" t="n"/>
      <c r="K217" s="74" t="n"/>
      <c r="L217" s="74" t="n"/>
      <c r="M217" s="76">
        <f>IFERROR(AVERAGE($G217,$I217,$J217,$K217,$L217),"")</f>
        <v/>
      </c>
      <c r="N217" s="76">
        <f>IFERROR($F217*$M217,"")</f>
        <v/>
      </c>
      <c r="O217" s="83" t="n"/>
      <c r="P217" s="77" t="n"/>
      <c r="Q217" s="67" t="n"/>
      <c r="R217" s="67" t="n"/>
      <c r="S217" s="67" t="n"/>
      <c r="T217" s="67" t="n"/>
      <c r="U217" s="67" t="n"/>
      <c r="V217" s="84">
        <f>IFERROR(AVERAGE($Q217,$R217,$S217,$T217,$U217),"")</f>
        <v/>
      </c>
      <c r="W217" s="122" t="n"/>
      <c r="X217" s="83" t="n"/>
      <c r="Y217" s="65" t="n"/>
      <c r="Z217" s="67" t="n"/>
      <c r="AA217" s="67" t="n"/>
      <c r="AB217" s="67" t="n"/>
      <c r="AC217" s="67" t="n"/>
      <c r="AD217" s="67" t="n"/>
      <c r="AE217" s="84">
        <f>IFERROR(AVERAGE($Z217,$AA217,$AB217,$AC217,$AD217),"")</f>
        <v/>
      </c>
      <c r="AF217" s="84">
        <f>IFERROR($F217*$AE217,"")</f>
        <v/>
      </c>
      <c r="AG217" s="83" t="n"/>
      <c r="AH217" s="65" t="n"/>
    </row>
    <row r="218">
      <c r="B218" s="78" t="inlineStr">
        <is>
          <t>T. 215</t>
        </is>
      </c>
      <c r="C218" s="61">
        <f>IFERROR('01_Key Requirements &amp; Use Cases'!#REF!,"")</f>
        <v/>
      </c>
      <c r="D218" s="62">
        <f>IFERROR('01_Key Requirements &amp; Use Cases'!#REF!,"")</f>
        <v/>
      </c>
      <c r="E218" s="82" t="n"/>
      <c r="F218" s="30" t="n"/>
      <c r="G218" s="78" t="n"/>
      <c r="H218" s="79" t="n"/>
      <c r="I218" s="74" t="n"/>
      <c r="J218" s="74" t="n"/>
      <c r="K218" s="74" t="n"/>
      <c r="L218" s="74" t="n"/>
      <c r="M218" s="76">
        <f>IFERROR(AVERAGE($G218,$I218,$J218,$K218,$L218),"")</f>
        <v/>
      </c>
      <c r="N218" s="76">
        <f>IFERROR($F218*$M218,"")</f>
        <v/>
      </c>
      <c r="O218" s="83" t="n"/>
      <c r="P218" s="77" t="n"/>
      <c r="Q218" s="67" t="n"/>
      <c r="R218" s="67" t="n"/>
      <c r="S218" s="67" t="n"/>
      <c r="T218" s="67" t="n"/>
      <c r="U218" s="67" t="n"/>
      <c r="V218" s="84">
        <f>IFERROR(AVERAGE($Q218,$R218,$S218,$T218,$U218),"")</f>
        <v/>
      </c>
      <c r="W218" s="122" t="n"/>
      <c r="X218" s="83" t="n"/>
      <c r="Y218" s="65" t="n"/>
      <c r="Z218" s="67" t="n"/>
      <c r="AA218" s="67" t="n"/>
      <c r="AB218" s="67" t="n"/>
      <c r="AC218" s="67" t="n"/>
      <c r="AD218" s="67" t="n"/>
      <c r="AE218" s="84">
        <f>IFERROR(AVERAGE($Z218,$AA218,$AB218,$AC218,$AD218),"")</f>
        <v/>
      </c>
      <c r="AF218" s="84">
        <f>IFERROR($F218*$AE218,"")</f>
        <v/>
      </c>
      <c r="AG218" s="83" t="n"/>
      <c r="AH218" s="65" t="n"/>
    </row>
    <row r="219">
      <c r="B219" s="78" t="inlineStr">
        <is>
          <t>T. 216</t>
        </is>
      </c>
      <c r="C219" s="61">
        <f>IFERROR('01_Key Requirements &amp; Use Cases'!#REF!,"")</f>
        <v/>
      </c>
      <c r="D219" s="62">
        <f>IFERROR('01_Key Requirements &amp; Use Cases'!#REF!,"")</f>
        <v/>
      </c>
      <c r="E219" s="82" t="n"/>
      <c r="F219" s="30" t="n"/>
      <c r="G219" s="78" t="n"/>
      <c r="H219" s="79" t="n"/>
      <c r="I219" s="74" t="n"/>
      <c r="J219" s="74" t="n"/>
      <c r="K219" s="74" t="n"/>
      <c r="L219" s="74" t="n"/>
      <c r="M219" s="76">
        <f>IFERROR(AVERAGE($G219,$I219,$J219,$K219,$L219),"")</f>
        <v/>
      </c>
      <c r="N219" s="76">
        <f>IFERROR($F219*$M219,"")</f>
        <v/>
      </c>
      <c r="O219" s="83" t="n"/>
      <c r="P219" s="77" t="n"/>
      <c r="Q219" s="67" t="n"/>
      <c r="R219" s="67" t="n"/>
      <c r="S219" s="67" t="n"/>
      <c r="T219" s="67" t="n"/>
      <c r="U219" s="67" t="n"/>
      <c r="V219" s="84">
        <f>IFERROR(AVERAGE($Q219,$R219,$S219,$T219,$U219),"")</f>
        <v/>
      </c>
      <c r="W219" s="122" t="n"/>
      <c r="X219" s="83" t="n"/>
      <c r="Y219" s="65" t="n"/>
      <c r="Z219" s="67" t="n"/>
      <c r="AA219" s="67" t="n"/>
      <c r="AB219" s="67" t="n"/>
      <c r="AC219" s="67" t="n"/>
      <c r="AD219" s="67" t="n"/>
      <c r="AE219" s="84">
        <f>IFERROR(AVERAGE($Z219,$AA219,$AB219,$AC219,$AD219),"")</f>
        <v/>
      </c>
      <c r="AF219" s="84">
        <f>IFERROR($F219*$AE219,"")</f>
        <v/>
      </c>
      <c r="AG219" s="83" t="n"/>
      <c r="AH219" s="65" t="n"/>
    </row>
    <row r="220">
      <c r="B220" s="78" t="inlineStr">
        <is>
          <t>T. 217</t>
        </is>
      </c>
      <c r="C220" s="61">
        <f>IFERROR('01_Key Requirements &amp; Use Cases'!#REF!,"")</f>
        <v/>
      </c>
      <c r="D220" s="62">
        <f>IFERROR('01_Key Requirements &amp; Use Cases'!#REF!,"")</f>
        <v/>
      </c>
      <c r="E220" s="82" t="n"/>
      <c r="F220" s="30" t="n"/>
      <c r="G220" s="78" t="n"/>
      <c r="H220" s="79" t="n"/>
      <c r="I220" s="74" t="n"/>
      <c r="J220" s="74" t="n"/>
      <c r="K220" s="74" t="n"/>
      <c r="L220" s="74" t="n"/>
      <c r="M220" s="76">
        <f>IFERROR(AVERAGE($G220,$I220,$J220,$K220,$L220),"")</f>
        <v/>
      </c>
      <c r="N220" s="76">
        <f>IFERROR($F220*$M220,"")</f>
        <v/>
      </c>
      <c r="O220" s="83" t="n"/>
      <c r="P220" s="77" t="n"/>
      <c r="Q220" s="67" t="n"/>
      <c r="R220" s="67" t="n"/>
      <c r="S220" s="67" t="n"/>
      <c r="T220" s="67" t="n"/>
      <c r="U220" s="67" t="n"/>
      <c r="V220" s="84">
        <f>IFERROR(AVERAGE($Q220,$R220,$S220,$T220,$U220),"")</f>
        <v/>
      </c>
      <c r="W220" s="122" t="n"/>
      <c r="X220" s="83" t="n"/>
      <c r="Y220" s="65" t="n"/>
      <c r="Z220" s="67" t="n"/>
      <c r="AA220" s="67" t="n"/>
      <c r="AB220" s="67" t="n"/>
      <c r="AC220" s="67" t="n"/>
      <c r="AD220" s="67" t="n"/>
      <c r="AE220" s="84">
        <f>IFERROR(AVERAGE($Z220,$AA220,$AB220,$AC220,$AD220),"")</f>
        <v/>
      </c>
      <c r="AF220" s="84">
        <f>IFERROR($F220*$AE220,"")</f>
        <v/>
      </c>
      <c r="AG220" s="83" t="n"/>
      <c r="AH220" s="65" t="n"/>
    </row>
    <row r="221">
      <c r="B221" s="78" t="inlineStr">
        <is>
          <t>T. 218</t>
        </is>
      </c>
      <c r="C221" s="61">
        <f>IFERROR('01_Key Requirements &amp; Use Cases'!#REF!,"")</f>
        <v/>
      </c>
      <c r="D221" s="62">
        <f>IFERROR('01_Key Requirements &amp; Use Cases'!#REF!,"")</f>
        <v/>
      </c>
      <c r="E221" s="82" t="n"/>
      <c r="F221" s="30" t="n"/>
      <c r="G221" s="78" t="n"/>
      <c r="H221" s="79" t="n"/>
      <c r="I221" s="74" t="n"/>
      <c r="J221" s="74" t="n"/>
      <c r="K221" s="74" t="n"/>
      <c r="L221" s="74" t="n"/>
      <c r="M221" s="76">
        <f>IFERROR(AVERAGE($G221,$I221,$J221,$K221,$L221),"")</f>
        <v/>
      </c>
      <c r="N221" s="76">
        <f>IFERROR($F221*$M221,"")</f>
        <v/>
      </c>
      <c r="O221" s="83" t="n"/>
      <c r="P221" s="77" t="n"/>
      <c r="Q221" s="67" t="n"/>
      <c r="R221" s="67" t="n"/>
      <c r="S221" s="67" t="n"/>
      <c r="T221" s="67" t="n"/>
      <c r="U221" s="67" t="n"/>
      <c r="V221" s="84">
        <f>IFERROR(AVERAGE($Q221,$R221,$S221,$T221,$U221),"")</f>
        <v/>
      </c>
      <c r="W221" s="122" t="n"/>
      <c r="X221" s="83" t="n"/>
      <c r="Y221" s="65" t="n"/>
      <c r="Z221" s="67" t="n"/>
      <c r="AA221" s="67" t="n"/>
      <c r="AB221" s="67" t="n"/>
      <c r="AC221" s="67" t="n"/>
      <c r="AD221" s="67" t="n"/>
      <c r="AE221" s="84">
        <f>IFERROR(AVERAGE($Z221,$AA221,$AB221,$AC221,$AD221),"")</f>
        <v/>
      </c>
      <c r="AF221" s="84">
        <f>IFERROR($F221*$AE221,"")</f>
        <v/>
      </c>
      <c r="AG221" s="83" t="n"/>
      <c r="AH221" s="65" t="n"/>
    </row>
    <row r="222">
      <c r="B222" s="78" t="inlineStr">
        <is>
          <t>T. 219</t>
        </is>
      </c>
      <c r="C222" s="61">
        <f>IFERROR('01_Key Requirements &amp; Use Cases'!#REF!,"")</f>
        <v/>
      </c>
      <c r="D222" s="62">
        <f>IFERROR('01_Key Requirements &amp; Use Cases'!#REF!,"")</f>
        <v/>
      </c>
      <c r="E222" s="82" t="n"/>
      <c r="F222" s="30" t="n"/>
      <c r="G222" s="78" t="n"/>
      <c r="H222" s="79" t="n"/>
      <c r="I222" s="74" t="n"/>
      <c r="J222" s="74" t="n"/>
      <c r="K222" s="74" t="n"/>
      <c r="L222" s="74" t="n"/>
      <c r="M222" s="76">
        <f>IFERROR(AVERAGE($G222,$I222,$J222,$K222,$L222),"")</f>
        <v/>
      </c>
      <c r="N222" s="76">
        <f>IFERROR($F222*$M222,"")</f>
        <v/>
      </c>
      <c r="O222" s="83" t="n"/>
      <c r="P222" s="77" t="n"/>
      <c r="Q222" s="67" t="n"/>
      <c r="R222" s="67" t="n"/>
      <c r="S222" s="67" t="n"/>
      <c r="T222" s="67" t="n"/>
      <c r="U222" s="67" t="n"/>
      <c r="V222" s="84">
        <f>IFERROR(AVERAGE($Q222,$R222,$S222,$T222,$U222),"")</f>
        <v/>
      </c>
      <c r="W222" s="122" t="n"/>
      <c r="X222" s="83" t="n"/>
      <c r="Y222" s="65" t="n"/>
      <c r="Z222" s="67" t="n"/>
      <c r="AA222" s="67" t="n"/>
      <c r="AB222" s="67" t="n"/>
      <c r="AC222" s="67" t="n"/>
      <c r="AD222" s="67" t="n"/>
      <c r="AE222" s="84">
        <f>IFERROR(AVERAGE($Z222,$AA222,$AB222,$AC222,$AD222),"")</f>
        <v/>
      </c>
      <c r="AF222" s="84">
        <f>IFERROR($F222*$AE222,"")</f>
        <v/>
      </c>
      <c r="AG222" s="83" t="n"/>
      <c r="AH222" s="65" t="n"/>
    </row>
    <row r="223">
      <c r="B223" s="78" t="inlineStr">
        <is>
          <t>T. 220</t>
        </is>
      </c>
      <c r="C223" s="61">
        <f>IFERROR('01_Key Requirements &amp; Use Cases'!#REF!,"")</f>
        <v/>
      </c>
      <c r="D223" s="62">
        <f>IFERROR('01_Key Requirements &amp; Use Cases'!#REF!,"")</f>
        <v/>
      </c>
      <c r="E223" s="82" t="n"/>
      <c r="F223" s="30" t="n"/>
      <c r="G223" s="78" t="n"/>
      <c r="H223" s="79" t="n"/>
      <c r="I223" s="74" t="n"/>
      <c r="J223" s="74" t="n"/>
      <c r="K223" s="74" t="n"/>
      <c r="L223" s="74" t="n"/>
      <c r="M223" s="76">
        <f>IFERROR(AVERAGE($G223,$I223,$J223,$K223,$L223),"")</f>
        <v/>
      </c>
      <c r="N223" s="76">
        <f>IFERROR($F223*$M223,"")</f>
        <v/>
      </c>
      <c r="O223" s="83" t="n"/>
      <c r="P223" s="77" t="n"/>
      <c r="Q223" s="67" t="n"/>
      <c r="R223" s="67" t="n"/>
      <c r="S223" s="67" t="n"/>
      <c r="T223" s="67" t="n"/>
      <c r="U223" s="67" t="n"/>
      <c r="V223" s="84">
        <f>IFERROR(AVERAGE($Q223,$R223,$S223,$T223,$U223),"")</f>
        <v/>
      </c>
      <c r="W223" s="122" t="n"/>
      <c r="X223" s="83" t="n"/>
      <c r="Y223" s="65" t="n"/>
      <c r="Z223" s="67" t="n"/>
      <c r="AA223" s="67" t="n"/>
      <c r="AB223" s="67" t="n"/>
      <c r="AC223" s="67" t="n"/>
      <c r="AD223" s="67" t="n"/>
      <c r="AE223" s="84">
        <f>IFERROR(AVERAGE($Z223,$AA223,$AB223,$AC223,$AD223),"")</f>
        <v/>
      </c>
      <c r="AF223" s="84">
        <f>IFERROR($F223*$AE223,"")</f>
        <v/>
      </c>
      <c r="AG223" s="83" t="n"/>
      <c r="AH223" s="65" t="n"/>
    </row>
    <row r="224">
      <c r="B224" s="78" t="inlineStr">
        <is>
          <t>T. 221</t>
        </is>
      </c>
      <c r="C224" s="61">
        <f>IFERROR('01_Key Requirements &amp; Use Cases'!#REF!,"")</f>
        <v/>
      </c>
      <c r="D224" s="62">
        <f>IFERROR('01_Key Requirements &amp; Use Cases'!#REF!,"")</f>
        <v/>
      </c>
      <c r="E224" s="82" t="n"/>
      <c r="F224" s="30" t="n"/>
      <c r="G224" s="78" t="n"/>
      <c r="H224" s="79" t="n"/>
      <c r="I224" s="74" t="n"/>
      <c r="J224" s="74" t="n"/>
      <c r="K224" s="74" t="n"/>
      <c r="L224" s="74" t="n"/>
      <c r="M224" s="76">
        <f>IFERROR(AVERAGE($G224,$I224,$J224,$K224,$L224),"")</f>
        <v/>
      </c>
      <c r="N224" s="76">
        <f>IFERROR($F224*$M224,"")</f>
        <v/>
      </c>
      <c r="O224" s="83" t="n"/>
      <c r="P224" s="77" t="n"/>
      <c r="Q224" s="67" t="n"/>
      <c r="R224" s="67" t="n"/>
      <c r="S224" s="67" t="n"/>
      <c r="T224" s="67" t="n"/>
      <c r="U224" s="67" t="n"/>
      <c r="V224" s="84">
        <f>IFERROR(AVERAGE($Q224,$R224,$S224,$T224,$U224),"")</f>
        <v/>
      </c>
      <c r="W224" s="122" t="n"/>
      <c r="X224" s="83" t="n"/>
      <c r="Y224" s="65" t="n"/>
      <c r="Z224" s="67" t="n"/>
      <c r="AA224" s="67" t="n"/>
      <c r="AB224" s="67" t="n"/>
      <c r="AC224" s="67" t="n"/>
      <c r="AD224" s="67" t="n"/>
      <c r="AE224" s="84">
        <f>IFERROR(AVERAGE($Z224,$AA224,$AB224,$AC224,$AD224),"")</f>
        <v/>
      </c>
      <c r="AF224" s="84">
        <f>IFERROR($F224*$AE224,"")</f>
        <v/>
      </c>
      <c r="AG224" s="83" t="n"/>
      <c r="AH224" s="65" t="n"/>
    </row>
    <row r="225">
      <c r="B225" s="78" t="inlineStr">
        <is>
          <t>T. 222</t>
        </is>
      </c>
      <c r="C225" s="61">
        <f>IFERROR('01_Key Requirements &amp; Use Cases'!#REF!,"")</f>
        <v/>
      </c>
      <c r="D225" s="62">
        <f>IFERROR('01_Key Requirements &amp; Use Cases'!#REF!,"")</f>
        <v/>
      </c>
      <c r="E225" s="82" t="n"/>
      <c r="F225" s="30" t="n"/>
      <c r="G225" s="78" t="n"/>
      <c r="H225" s="79" t="n"/>
      <c r="I225" s="74" t="n"/>
      <c r="J225" s="74" t="n"/>
      <c r="K225" s="74" t="n"/>
      <c r="L225" s="74" t="n"/>
      <c r="M225" s="76">
        <f>IFERROR(AVERAGE($G225,$I225,$J225,$K225,$L225),"")</f>
        <v/>
      </c>
      <c r="N225" s="76">
        <f>IFERROR($F225*$M225,"")</f>
        <v/>
      </c>
      <c r="O225" s="83" t="n"/>
      <c r="P225" s="77" t="n"/>
      <c r="Q225" s="67" t="n"/>
      <c r="R225" s="67" t="n"/>
      <c r="S225" s="67" t="n"/>
      <c r="T225" s="67" t="n"/>
      <c r="U225" s="67" t="n"/>
      <c r="V225" s="84">
        <f>IFERROR(AVERAGE($Q225,$R225,$S225,$T225,$U225),"")</f>
        <v/>
      </c>
      <c r="W225" s="122" t="n"/>
      <c r="X225" s="83" t="n"/>
      <c r="Y225" s="65" t="n"/>
      <c r="Z225" s="67" t="n"/>
      <c r="AA225" s="67" t="n"/>
      <c r="AB225" s="67" t="n"/>
      <c r="AC225" s="67" t="n"/>
      <c r="AD225" s="67" t="n"/>
      <c r="AE225" s="84">
        <f>IFERROR(AVERAGE($Z225,$AA225,$AB225,$AC225,$AD225),"")</f>
        <v/>
      </c>
      <c r="AF225" s="84">
        <f>IFERROR($F225*$AE225,"")</f>
        <v/>
      </c>
      <c r="AG225" s="83" t="n"/>
      <c r="AH225" s="65" t="n"/>
    </row>
    <row r="226">
      <c r="B226" s="78" t="inlineStr">
        <is>
          <t>T. 223</t>
        </is>
      </c>
      <c r="C226" s="61">
        <f>IFERROR('01_Key Requirements &amp; Use Cases'!#REF!,"")</f>
        <v/>
      </c>
      <c r="D226" s="62">
        <f>IFERROR('01_Key Requirements &amp; Use Cases'!#REF!,"")</f>
        <v/>
      </c>
      <c r="E226" s="82" t="n"/>
      <c r="F226" s="30" t="n"/>
      <c r="G226" s="78" t="n"/>
      <c r="H226" s="79" t="n"/>
      <c r="I226" s="74" t="n"/>
      <c r="J226" s="74" t="n"/>
      <c r="K226" s="74" t="n"/>
      <c r="L226" s="74" t="n"/>
      <c r="M226" s="76">
        <f>IFERROR(AVERAGE($G226,$I226,$J226,$K226,$L226),"")</f>
        <v/>
      </c>
      <c r="N226" s="76">
        <f>IFERROR($F226*$M226,"")</f>
        <v/>
      </c>
      <c r="O226" s="83" t="n"/>
      <c r="P226" s="77" t="n"/>
      <c r="Q226" s="67" t="n"/>
      <c r="R226" s="67" t="n"/>
      <c r="S226" s="67" t="n"/>
      <c r="T226" s="67" t="n"/>
      <c r="U226" s="67" t="n"/>
      <c r="V226" s="84">
        <f>IFERROR(AVERAGE($Q226,$R226,$S226,$T226,$U226),"")</f>
        <v/>
      </c>
      <c r="W226" s="122" t="n"/>
      <c r="X226" s="83" t="n"/>
      <c r="Y226" s="65" t="n"/>
      <c r="Z226" s="67" t="n"/>
      <c r="AA226" s="67" t="n"/>
      <c r="AB226" s="67" t="n"/>
      <c r="AC226" s="67" t="n"/>
      <c r="AD226" s="67" t="n"/>
      <c r="AE226" s="84">
        <f>IFERROR(AVERAGE($Z226,$AA226,$AB226,$AC226,$AD226),"")</f>
        <v/>
      </c>
      <c r="AF226" s="84">
        <f>IFERROR($F226*$AE226,"")</f>
        <v/>
      </c>
      <c r="AG226" s="83" t="n"/>
      <c r="AH226" s="65" t="n"/>
    </row>
    <row r="227">
      <c r="B227" s="78" t="inlineStr">
        <is>
          <t>T. 224</t>
        </is>
      </c>
      <c r="C227" s="61">
        <f>IFERROR('01_Key Requirements &amp; Use Cases'!#REF!,"")</f>
        <v/>
      </c>
      <c r="D227" s="62">
        <f>IFERROR('01_Key Requirements &amp; Use Cases'!#REF!,"")</f>
        <v/>
      </c>
      <c r="E227" s="82" t="n"/>
      <c r="F227" s="30" t="n"/>
      <c r="G227" s="78" t="n"/>
      <c r="H227" s="79" t="n"/>
      <c r="I227" s="74" t="n"/>
      <c r="J227" s="74" t="n"/>
      <c r="K227" s="74" t="n"/>
      <c r="L227" s="74" t="n"/>
      <c r="M227" s="76">
        <f>IFERROR(AVERAGE($G227,$I227,$J227,$K227,$L227),"")</f>
        <v/>
      </c>
      <c r="N227" s="76">
        <f>IFERROR($F227*$M227,"")</f>
        <v/>
      </c>
      <c r="O227" s="83" t="n"/>
      <c r="P227" s="77" t="n"/>
      <c r="Q227" s="67" t="n"/>
      <c r="R227" s="67" t="n"/>
      <c r="S227" s="67" t="n"/>
      <c r="T227" s="67" t="n"/>
      <c r="U227" s="67" t="n"/>
      <c r="V227" s="84">
        <f>IFERROR(AVERAGE($Q227,$R227,$S227,$T227,$U227),"")</f>
        <v/>
      </c>
      <c r="W227" s="122" t="n"/>
      <c r="X227" s="83" t="n"/>
      <c r="Y227" s="65" t="n"/>
      <c r="Z227" s="67" t="n"/>
      <c r="AA227" s="67" t="n"/>
      <c r="AB227" s="67" t="n"/>
      <c r="AC227" s="67" t="n"/>
      <c r="AD227" s="67" t="n"/>
      <c r="AE227" s="84">
        <f>IFERROR(AVERAGE($Z227,$AA227,$AB227,$AC227,$AD227),"")</f>
        <v/>
      </c>
      <c r="AF227" s="84">
        <f>IFERROR($F227*$AE227,"")</f>
        <v/>
      </c>
      <c r="AG227" s="83" t="n"/>
      <c r="AH227" s="65" t="n"/>
    </row>
    <row r="228">
      <c r="B228" s="78" t="inlineStr">
        <is>
          <t>T. 225</t>
        </is>
      </c>
      <c r="C228" s="61">
        <f>IFERROR('01_Key Requirements &amp; Use Cases'!#REF!,"")</f>
        <v/>
      </c>
      <c r="D228" s="62">
        <f>IFERROR('01_Key Requirements &amp; Use Cases'!#REF!,"")</f>
        <v/>
      </c>
      <c r="E228" s="82" t="n"/>
      <c r="F228" s="30" t="n"/>
      <c r="G228" s="78" t="n"/>
      <c r="H228" s="79" t="n"/>
      <c r="I228" s="74" t="n"/>
      <c r="J228" s="74" t="n"/>
      <c r="K228" s="74" t="n"/>
      <c r="L228" s="74" t="n"/>
      <c r="M228" s="76">
        <f>IFERROR(AVERAGE($G228,$I228,$J228,$K228,$L228),"")</f>
        <v/>
      </c>
      <c r="N228" s="76">
        <f>IFERROR($F228*$M228,"")</f>
        <v/>
      </c>
      <c r="O228" s="83" t="n"/>
      <c r="P228" s="77" t="n"/>
      <c r="Q228" s="67" t="n"/>
      <c r="R228" s="67" t="n"/>
      <c r="S228" s="67" t="n"/>
      <c r="T228" s="67" t="n"/>
      <c r="U228" s="67" t="n"/>
      <c r="V228" s="84">
        <f>IFERROR(AVERAGE($Q228,$R228,$S228,$T228,$U228),"")</f>
        <v/>
      </c>
      <c r="W228" s="122" t="n"/>
      <c r="X228" s="83" t="n"/>
      <c r="Y228" s="65" t="n"/>
      <c r="Z228" s="67" t="n"/>
      <c r="AA228" s="67" t="n"/>
      <c r="AB228" s="67" t="n"/>
      <c r="AC228" s="67" t="n"/>
      <c r="AD228" s="67" t="n"/>
      <c r="AE228" s="84">
        <f>IFERROR(AVERAGE($Z228,$AA228,$AB228,$AC228,$AD228),"")</f>
        <v/>
      </c>
      <c r="AF228" s="84">
        <f>IFERROR($F228*$AE228,"")</f>
        <v/>
      </c>
      <c r="AG228" s="83" t="n"/>
      <c r="AH228" s="65" t="n"/>
    </row>
    <row r="229">
      <c r="B229" s="78" t="inlineStr">
        <is>
          <t>T. 226</t>
        </is>
      </c>
      <c r="C229" s="61">
        <f>IFERROR('01_Key Requirements &amp; Use Cases'!#REF!,"")</f>
        <v/>
      </c>
      <c r="D229" s="62">
        <f>IFERROR('01_Key Requirements &amp; Use Cases'!#REF!,"")</f>
        <v/>
      </c>
      <c r="E229" s="82" t="n"/>
      <c r="F229" s="30" t="n"/>
      <c r="G229" s="78" t="n"/>
      <c r="H229" s="79" t="n"/>
      <c r="I229" s="74" t="n"/>
      <c r="J229" s="74" t="n"/>
      <c r="K229" s="74" t="n"/>
      <c r="L229" s="74" t="n"/>
      <c r="M229" s="76">
        <f>IFERROR(AVERAGE($G229,$I229,$J229,$K229,$L229),"")</f>
        <v/>
      </c>
      <c r="N229" s="76">
        <f>IFERROR($F229*$M229,"")</f>
        <v/>
      </c>
      <c r="O229" s="83" t="n"/>
      <c r="P229" s="77" t="n"/>
      <c r="Q229" s="67" t="n"/>
      <c r="R229" s="67" t="n"/>
      <c r="S229" s="67" t="n"/>
      <c r="T229" s="67" t="n"/>
      <c r="U229" s="67" t="n"/>
      <c r="V229" s="84">
        <f>IFERROR(AVERAGE($Q229,$R229,$S229,$T229,$U229),"")</f>
        <v/>
      </c>
      <c r="W229" s="122" t="n"/>
      <c r="X229" s="83" t="n"/>
      <c r="Y229" s="65" t="n"/>
      <c r="Z229" s="67" t="n"/>
      <c r="AA229" s="67" t="n"/>
      <c r="AB229" s="67" t="n"/>
      <c r="AC229" s="67" t="n"/>
      <c r="AD229" s="67" t="n"/>
      <c r="AE229" s="84">
        <f>IFERROR(AVERAGE($Z229,$AA229,$AB229,$AC229,$AD229),"")</f>
        <v/>
      </c>
      <c r="AF229" s="84">
        <f>IFERROR($F229*$AE229,"")</f>
        <v/>
      </c>
      <c r="AG229" s="83" t="n"/>
      <c r="AH229" s="65" t="n"/>
    </row>
    <row r="230">
      <c r="B230" s="78" t="inlineStr">
        <is>
          <t>T. 227</t>
        </is>
      </c>
      <c r="C230" s="61">
        <f>IFERROR('01_Key Requirements &amp; Use Cases'!#REF!,"")</f>
        <v/>
      </c>
      <c r="D230" s="62">
        <f>IFERROR('01_Key Requirements &amp; Use Cases'!#REF!,"")</f>
        <v/>
      </c>
      <c r="E230" s="82" t="n"/>
      <c r="F230" s="30" t="n"/>
      <c r="G230" s="78" t="n"/>
      <c r="H230" s="79" t="n"/>
      <c r="I230" s="74" t="n"/>
      <c r="J230" s="74" t="n"/>
      <c r="K230" s="74" t="n"/>
      <c r="L230" s="74" t="n"/>
      <c r="M230" s="76">
        <f>IFERROR(AVERAGE($G230,$I230,$J230,$K230,$L230),"")</f>
        <v/>
      </c>
      <c r="N230" s="76">
        <f>IFERROR($F230*$M230,"")</f>
        <v/>
      </c>
      <c r="O230" s="83" t="n"/>
      <c r="P230" s="77" t="n"/>
      <c r="Q230" s="67" t="n"/>
      <c r="R230" s="67" t="n"/>
      <c r="S230" s="67" t="n"/>
      <c r="T230" s="67" t="n"/>
      <c r="U230" s="67" t="n"/>
      <c r="V230" s="84">
        <f>IFERROR(AVERAGE($Q230,$R230,$S230,$T230,$U230),"")</f>
        <v/>
      </c>
      <c r="W230" s="122" t="n"/>
      <c r="X230" s="83" t="n"/>
      <c r="Y230" s="65" t="n"/>
      <c r="Z230" s="67" t="n"/>
      <c r="AA230" s="67" t="n"/>
      <c r="AB230" s="67" t="n"/>
      <c r="AC230" s="67" t="n"/>
      <c r="AD230" s="67" t="n"/>
      <c r="AE230" s="84">
        <f>IFERROR(AVERAGE($Z230,$AA230,$AB230,$AC230,$AD230),"")</f>
        <v/>
      </c>
      <c r="AF230" s="84">
        <f>IFERROR($F230*$AE230,"")</f>
        <v/>
      </c>
      <c r="AG230" s="83" t="n"/>
      <c r="AH230" s="65" t="n"/>
    </row>
    <row r="231" ht="15.75" customHeight="1" thickBot="1">
      <c r="B231" s="85" t="inlineStr">
        <is>
          <t>T. 228</t>
        </is>
      </c>
      <c r="C231" s="68">
        <f>IFERROR('01_Key Requirements &amp; Use Cases'!#REF!,"")</f>
        <v/>
      </c>
      <c r="D231" s="71">
        <f>IFERROR('01_Key Requirements &amp; Use Cases'!#REF!,"")</f>
        <v/>
      </c>
      <c r="E231" s="86" t="n"/>
      <c r="F231" s="31" t="n"/>
      <c r="G231" s="85" t="n"/>
      <c r="H231" s="87" t="n"/>
      <c r="I231" s="88" t="n"/>
      <c r="J231" s="88" t="n"/>
      <c r="K231" s="88" t="n"/>
      <c r="L231" s="88" t="n"/>
      <c r="M231" s="89">
        <f>IFERROR(AVERAGE($G231,$I231,$J231,$K231,$L231),"")</f>
        <v/>
      </c>
      <c r="N231" s="89">
        <f>IFERROR($F231*$M231,"")</f>
        <v/>
      </c>
      <c r="O231" s="90" t="n"/>
      <c r="P231" s="91" t="n"/>
      <c r="Q231" s="69" t="n"/>
      <c r="R231" s="69" t="n"/>
      <c r="S231" s="69" t="n"/>
      <c r="T231" s="69" t="n"/>
      <c r="U231" s="69" t="n"/>
      <c r="V231" s="92">
        <f>IFERROR(AVERAGE($Q231,$R231,$S231,$T231,$U231),"")</f>
        <v/>
      </c>
      <c r="W231" s="122" t="n"/>
      <c r="X231" s="90" t="n"/>
      <c r="Y231" s="70" t="n"/>
      <c r="Z231" s="69" t="n"/>
      <c r="AA231" s="69" t="n"/>
      <c r="AB231" s="69" t="n"/>
      <c r="AC231" s="69" t="n"/>
      <c r="AD231" s="69" t="n"/>
      <c r="AE231" s="92">
        <f>IFERROR(AVERAGE($Z231,$AA231,$AB231,$AC231,$AD231),"")</f>
        <v/>
      </c>
      <c r="AF231" s="92">
        <f>IFERROR($F231*$AE231,"")</f>
        <v/>
      </c>
      <c r="AG231" s="90" t="n"/>
      <c r="AH231" s="70" t="n"/>
    </row>
  </sheetData>
  <autoFilter ref="B3:AJ231">
    <filterColumn colId="1" hiddenButton="0" showButton="1">
      <colorFilter dxfId="13"/>
    </filterColumn>
  </autoFilter>
  <mergeCells count="6">
    <mergeCell ref="Q52:W52"/>
    <mergeCell ref="G52:M52"/>
    <mergeCell ref="AA52:AG52"/>
    <mergeCell ref="Q2:Z2"/>
    <mergeCell ref="G2:P2"/>
    <mergeCell ref="AA2:AJ2"/>
  </mergeCells>
  <conditionalFormatting sqref="C4:F231">
    <cfRule type="cellIs" priority="1" operator="equal" dxfId="0">
      <formula>0</formula>
    </cfRule>
  </conditionalFormatting>
  <pageMargins left="0.7" right="0.7" top="0.75" bottom="0.75" header="0.3" footer="0.3"/>
  <pageSetup orientation="portrait"/>
  <headerFooter>
    <oddHeader/>
    <oddFooter>&amp;L&amp;"Aptos"&amp;8 &amp;K317100_x000d_# [AIA – PUBLIC]</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3:L26"/>
  <sheetViews>
    <sheetView showGridLines="0" showRowColHeaders="0" workbookViewId="0">
      <selection activeCell="J16" sqref="J16"/>
    </sheetView>
  </sheetViews>
  <sheetFormatPr baseColWidth="8" defaultColWidth="8.85546875" defaultRowHeight="15"/>
  <cols>
    <col width="7.28515625" customWidth="1" min="1" max="1"/>
  </cols>
  <sheetData>
    <row r="3">
      <c r="B3" s="7" t="inlineStr">
        <is>
          <t>Category</t>
        </is>
      </c>
      <c r="C3" s="7" t="n"/>
      <c r="D3" s="7" t="n"/>
      <c r="E3" s="7" t="inlineStr">
        <is>
          <t>Weightage</t>
        </is>
      </c>
      <c r="F3" s="7" t="n"/>
      <c r="G3" s="7" t="inlineStr">
        <is>
          <t>Capability [&amp; Maturity]</t>
        </is>
      </c>
      <c r="H3" s="7" t="n"/>
      <c r="I3" s="7" t="n"/>
      <c r="J3" s="7" t="inlineStr">
        <is>
          <t>Type</t>
        </is>
      </c>
      <c r="K3" s="7" t="n"/>
      <c r="L3" s="7" t="inlineStr">
        <is>
          <t>Compliance</t>
        </is>
      </c>
    </row>
    <row r="5">
      <c r="B5" t="inlineStr">
        <is>
          <t>Access Controls</t>
        </is>
      </c>
      <c r="E5" s="1" t="n">
        <v>1</v>
      </c>
      <c r="G5" s="1" t="n">
        <v>0</v>
      </c>
      <c r="J5" t="inlineStr">
        <is>
          <t>Functional</t>
        </is>
      </c>
      <c r="L5" t="inlineStr">
        <is>
          <t>In-Full</t>
        </is>
      </c>
    </row>
    <row r="6">
      <c r="B6" t="inlineStr">
        <is>
          <t>Architecture</t>
        </is>
      </c>
      <c r="E6" s="1" t="n">
        <v>2</v>
      </c>
      <c r="G6" s="1" t="n">
        <v>1</v>
      </c>
      <c r="J6" t="inlineStr">
        <is>
          <t>Non-Functional</t>
        </is>
      </c>
      <c r="L6" t="inlineStr">
        <is>
          <t>Partially</t>
        </is>
      </c>
    </row>
    <row r="7">
      <c r="B7" t="inlineStr">
        <is>
          <t>Automation</t>
        </is>
      </c>
      <c r="E7" s="1" t="n">
        <v>3</v>
      </c>
      <c r="G7" s="1" t="n">
        <v>2</v>
      </c>
      <c r="J7" t="inlineStr">
        <is>
          <t>Optional</t>
        </is>
      </c>
      <c r="L7" t="inlineStr">
        <is>
          <t>Non-Compliant</t>
        </is>
      </c>
    </row>
    <row r="8">
      <c r="B8" t="inlineStr">
        <is>
          <t>Billing Model</t>
        </is>
      </c>
      <c r="G8" s="1" t="n">
        <v>3</v>
      </c>
      <c r="L8" t="inlineStr">
        <is>
          <t>Planned</t>
        </is>
      </c>
    </row>
    <row r="9">
      <c r="B9" t="inlineStr">
        <is>
          <t>Cloud Readiness</t>
        </is>
      </c>
      <c r="G9" s="1" t="n"/>
    </row>
    <row r="10">
      <c r="B10" t="inlineStr">
        <is>
          <t>Cost &amp; Contract</t>
        </is>
      </c>
      <c r="G10" s="1" t="n"/>
    </row>
    <row r="11">
      <c r="B11" t="inlineStr">
        <is>
          <t>Delivery &amp; Transition</t>
        </is>
      </c>
    </row>
    <row r="12">
      <c r="B12" t="inlineStr">
        <is>
          <t>Functional Capabilities</t>
        </is>
      </c>
    </row>
    <row r="13">
      <c r="B13" t="inlineStr">
        <is>
          <t>High Availability</t>
        </is>
      </c>
    </row>
    <row r="14">
      <c r="B14" t="inlineStr">
        <is>
          <t>Innovation</t>
        </is>
      </c>
    </row>
    <row r="15">
      <c r="B15" t="inlineStr">
        <is>
          <t>Integration</t>
        </is>
      </c>
    </row>
    <row r="16">
      <c r="B16" t="inlineStr">
        <is>
          <t>Log, Monitor &amp; Alerts</t>
        </is>
      </c>
    </row>
    <row r="17">
      <c r="B17" t="inlineStr">
        <is>
          <t>Support Model</t>
        </is>
      </c>
    </row>
    <row r="18">
      <c r="B18" t="inlineStr">
        <is>
          <t>Open Standards</t>
        </is>
      </c>
    </row>
    <row r="19">
      <c r="B19" t="inlineStr">
        <is>
          <t>Operations</t>
        </is>
      </c>
    </row>
    <row r="20">
      <c r="B20" t="inlineStr">
        <is>
          <t>Performance</t>
        </is>
      </c>
    </row>
    <row r="21">
      <c r="B21" t="inlineStr">
        <is>
          <t>Resillience</t>
        </is>
      </c>
    </row>
    <row r="22">
      <c r="B22" t="inlineStr">
        <is>
          <t>Quality Assurance</t>
        </is>
      </c>
    </row>
    <row r="23">
      <c r="B23" t="inlineStr">
        <is>
          <t>Reporting &amp; Analytics</t>
        </is>
      </c>
    </row>
    <row r="24">
      <c r="B24" t="inlineStr">
        <is>
          <t>Information Security</t>
        </is>
      </c>
    </row>
    <row r="25">
      <c r="B25" t="inlineStr">
        <is>
          <t>Regulatory Compliance</t>
        </is>
      </c>
    </row>
    <row r="26">
      <c r="B26" t="inlineStr">
        <is>
          <t>User Experience</t>
        </is>
      </c>
    </row>
  </sheetData>
  <pageMargins left="0.7" right="0.7" top="0.75" bottom="0.75" header="0.3" footer="0.3"/>
  <pageSetup orientation="portrait"/>
  <headerFooter>
    <oddHeader/>
    <oddFooter>&amp;L&amp;"Aptos"&amp;8 &amp;K317100_x000d_# [AIA – PUBLIC]</oddFooter>
    <evenHeader/>
    <evenFooter/>
    <firstHeader/>
    <firstFooter/>
  </headerFooter>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Application>Microsoft 365 Copilot</Application>
  <AppVersion>3.1</AppVersion>
</Properties>
</file>

<file path=docProps/core.xml><?xml version="1.0" encoding="utf-8"?>
<cp:coreProperties xmlns:cp="http://schemas.openxmlformats.org/package/2006/metadata/core-properties">
  <dc:creator xmlns:dc="http://purl.org/dc/elements/1.1/">Petkar, Sachin</dc:creator>
  <dcterms:created xmlns:dcterms="http://purl.org/dc/terms/" xmlns:xsi="http://www.w3.org/2001/XMLSchema-instance" xsi:type="dcterms:W3CDTF">2020-12-02T07:39:32Z</dcterms:created>
  <dcterms:modified xmlns:dcterms="http://purl.org/dc/terms/" xmlns:xsi="http://www.w3.org/2001/XMLSchema-instance" xsi:type="dcterms:W3CDTF">2026-08-19T10:52:09Z</dcterms:modified>
  <cp:lastModifiedBy>David Dong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0x010100FBB2F1C5D0040D4C94CF0A2B8E35CFAC</vt:lpwstr>
  </property>
  <property name="Order" fmtid="{D5CDD505-2E9C-101B-9397-08002B2CF9AE}" pid="3">
    <vt:r8 xmlns:vt="http://schemas.openxmlformats.org/officeDocument/2006/docPropsVTypes">4500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ComplianceAssetId" fmtid="{D5CDD505-2E9C-101B-9397-08002B2CF9AE}" pid="6">
    <vt:lpwstr xmlns:vt="http://schemas.openxmlformats.org/officeDocument/2006/docPropsVTypes"/>
  </property>
  <property name="TemplateUrl" fmtid="{D5CDD505-2E9C-101B-9397-08002B2CF9AE}" pid="7">
    <vt:lpwstr xmlns:vt="http://schemas.openxmlformats.org/officeDocument/2006/docPropsVTypes"/>
  </property>
  <property name="_ExtendedDescription" fmtid="{D5CDD505-2E9C-101B-9397-08002B2CF9AE}" pid="8">
    <vt:lpwstr xmlns:vt="http://schemas.openxmlformats.org/officeDocument/2006/docPropsVTypes"/>
  </property>
  <property name="TriggerFlowInfo" fmtid="{D5CDD505-2E9C-101B-9397-08002B2CF9AE}" pid="9">
    <vt:lpwstr xmlns:vt="http://schemas.openxmlformats.org/officeDocument/2006/docPropsVTypes"/>
  </property>
  <property name="MediaServiceImageTags" fmtid="{D5CDD505-2E9C-101B-9397-08002B2CF9AE}" pid="10">
    <vt:lpwstr xmlns:vt="http://schemas.openxmlformats.org/officeDocument/2006/docPropsVTypes"/>
  </property>
  <property name="MSIP_Label_891b32ef-ed69-48a4-80a7-c96eee60b7ed_Enabled" fmtid="{D5CDD505-2E9C-101B-9397-08002B2CF9AE}" pid="11">
    <vt:lpwstr xmlns:vt="http://schemas.openxmlformats.org/officeDocument/2006/docPropsVTypes">true</vt:lpwstr>
  </property>
  <property name="MSIP_Label_891b32ef-ed69-48a4-80a7-c96eee60b7ed_SetDate" fmtid="{D5CDD505-2E9C-101B-9397-08002B2CF9AE}" pid="12">
    <vt:lpwstr xmlns:vt="http://schemas.openxmlformats.org/officeDocument/2006/docPropsVTypes">2026-07-09T09:29:16Z</vt:lpwstr>
  </property>
  <property name="MSIP_Label_891b32ef-ed69-48a4-80a7-c96eee60b7ed_Method" fmtid="{D5CDD505-2E9C-101B-9397-08002B2CF9AE}" pid="13">
    <vt:lpwstr xmlns:vt="http://schemas.openxmlformats.org/officeDocument/2006/docPropsVTypes">Privileged</vt:lpwstr>
  </property>
  <property name="MSIP_Label_891b32ef-ed69-48a4-80a7-c96eee60b7ed_Name" fmtid="{D5CDD505-2E9C-101B-9397-08002B2CF9AE}" pid="14">
    <vt:lpwstr xmlns:vt="http://schemas.openxmlformats.org/officeDocument/2006/docPropsVTypes">891b32ef-ed69-48a4-80a7-c96eee60b7ed</vt:lpwstr>
  </property>
  <property name="MSIP_Label_891b32ef-ed69-48a4-80a7-c96eee60b7ed_SiteId" fmtid="{D5CDD505-2E9C-101B-9397-08002B2CF9AE}" pid="15">
    <vt:lpwstr xmlns:vt="http://schemas.openxmlformats.org/officeDocument/2006/docPropsVTypes">7f2c1900-9fd4-4b89-91d3-79a649996f0a</vt:lpwstr>
  </property>
  <property name="MSIP_Label_891b32ef-ed69-48a4-80a7-c96eee60b7ed_ActionId" fmtid="{D5CDD505-2E9C-101B-9397-08002B2CF9AE}" pid="16">
    <vt:lpwstr xmlns:vt="http://schemas.openxmlformats.org/officeDocument/2006/docPropsVTypes">e0c8be5a-be56-44af-9ab5-d78202a20f15</vt:lpwstr>
  </property>
  <property name="MSIP_Label_891b32ef-ed69-48a4-80a7-c96eee60b7ed_ContentBits" fmtid="{D5CDD505-2E9C-101B-9397-08002B2CF9AE}" pid="17">
    <vt:lpwstr xmlns:vt="http://schemas.openxmlformats.org/officeDocument/2006/docPropsVTypes">2</vt:lpwstr>
  </property>
  <property name="MSIP_Label_891b32ef-ed69-48a4-80a7-c96eee60b7ed_Tag" fmtid="{D5CDD505-2E9C-101B-9397-08002B2CF9AE}" pid="18">
    <vt:lpwstr xmlns:vt="http://schemas.openxmlformats.org/officeDocument/2006/docPropsVTypes">50, 0, 1, 1</vt:lpwstr>
  </property>
</Properties>
</file>